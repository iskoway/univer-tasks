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5556B7EC-F809-E04E-AFFC-3CA50CDA8153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Сдельная зарплата" sheetId="3" r:id="rId1"/>
  </sheets>
  <definedNames>
    <definedName name="_xlchart.v2.0" hidden="1">'Сдельная зарплата'!$A$7:$A$11</definedName>
    <definedName name="_xlchart.v2.1" hidden="1">'Сдельная зарплата'!$D$7:$D$11</definedName>
    <definedName name="_xlchart.v2.2" hidden="1">'Сдельная зарплата'!$E$7:$E$11</definedName>
    <definedName name="_xlchart.v2.3" hidden="1">'Сдельная зарплата'!$F$7:$F$11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F12" i="3"/>
  <c r="F8" i="3"/>
  <c r="F9" i="3"/>
  <c r="F10" i="3"/>
  <c r="F11" i="3"/>
  <c r="F7" i="3"/>
  <c r="E8" i="3"/>
  <c r="E9" i="3"/>
  <c r="E10" i="3"/>
  <c r="E11" i="3"/>
  <c r="E7" i="3"/>
  <c r="D8" i="3"/>
  <c r="D9" i="3"/>
  <c r="D10" i="3"/>
  <c r="D11" i="3"/>
  <c r="D7" i="3"/>
</calcChain>
</file>

<file path=xl/sharedStrings.xml><?xml version="1.0" encoding="utf-8"?>
<sst xmlns="http://schemas.openxmlformats.org/spreadsheetml/2006/main" count="17" uniqueCount="17">
  <si>
    <t>ВСЕГО</t>
  </si>
  <si>
    <t>Иванов В.А.</t>
  </si>
  <si>
    <t>Петров К.О.</t>
  </si>
  <si>
    <t>Сидоров И.Н.</t>
  </si>
  <si>
    <t>Налог от 15 000 сом</t>
  </si>
  <si>
    <t>Стоимость работы</t>
  </si>
  <si>
    <t>Стоимость детали</t>
  </si>
  <si>
    <t>СДЕЛЬНАЯ ЗАРАБОТНАЯ ПЛАТА</t>
  </si>
  <si>
    <t>Работник</t>
  </si>
  <si>
    <t>Деталей брака</t>
  </si>
  <si>
    <t>Зарплата</t>
  </si>
  <si>
    <t>Сумма налога</t>
  </si>
  <si>
    <t>Сумма на руки</t>
  </si>
  <si>
    <t>Ковалев И.Р.</t>
  </si>
  <si>
    <t>Федоров Г.Д.</t>
  </si>
  <si>
    <t>Обработано деталей</t>
  </si>
  <si>
    <t>Налог до 15 000 сом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</si>
</sst>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сом&quot;_-;\-* #,##0.00\ &quot;сом&quot;_-;_-* &quot;-&quot;??\ &quot;сом&quot;_-;_-@_-"/>
    <numFmt numFmtId="164" formatCode="_-* #,##0.00\ &quot;₽&quot;_-;\-* #,##0.00\ &quot;₽&quot;_-;_-* &quot;-&quot;??\ &quot;₽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textRotation="90" wrapText="1"/>
    </xf>
    <xf numFmtId="44" fontId="2" fillId="0" borderId="1" xfId="1" applyNumberFormat="1" applyFont="1" applyBorder="1"/>
    <xf numFmtId="0" fontId="2" fillId="0" borderId="1" xfId="0" applyFont="1" applyBorder="1"/>
    <xf numFmtId="0" fontId="3" fillId="0" borderId="1" xfId="0" applyFont="1" applyBorder="1"/>
    <xf numFmtId="44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4" fontId="3" fillId="0" borderId="1" xfId="0" applyNumberFormat="1" applyFont="1" applyBorder="1"/>
    <xf numFmtId="0" fontId="3" fillId="0" borderId="1" xfId="0" applyFont="1" applyBorder="1" applyAlignment="1">
      <alignment horizontal="left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Сдельная</a:t>
            </a:r>
            <a:r>
              <a:rPr lang="ru-RU" baseline="0"/>
              <a:t> заработная плата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Зарплата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'Сдельная зарплата'!$A$7:$A$11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'Сдельная зарплата'!$D$7:$D$11</c:f>
              <c:numCache>
                <c:formatCode>_("сом"* #,##0.00_);_("сом"* \(#,##0.00\);_("сом"* "-"??_);_(@_)</c:formatCode>
                <c:ptCount val="5"/>
                <c:pt idx="0">
                  <c:v>14525</c:v>
                </c:pt>
                <c:pt idx="1">
                  <c:v>15875</c:v>
                </c:pt>
                <c:pt idx="2">
                  <c:v>14850</c:v>
                </c:pt>
                <c:pt idx="3">
                  <c:v>17600</c:v>
                </c:pt>
                <c:pt idx="4">
                  <c:v>13150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F-554C-855D-7405F64DB541}"/>
            </c:ext>
          </c:extLst>
        </c:ser>
        <c:ser>
          <c:idx val="1"/>
          <c:order val="1"/>
          <c:tx>
            <c:v>Сумма налога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'Сдельная зарплата'!$A$7:$A$11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'Сдельная зарплата'!$E$7:$E$11</c:f>
              <c:numCache>
                <c:formatCode>_("сом"* #,##0.00_);_("сом"* \(#,##0.00\);_("сом"* "-"??_);_(@_)</c:formatCode>
                <c:ptCount val="5"/>
                <c:pt idx="0">
                  <c:v>1888.25</c:v>
                </c:pt>
                <c:pt idx="1">
                  <c:v>3175</c:v>
                </c:pt>
                <c:pt idx="2">
                  <c:v>1930.5</c:v>
                </c:pt>
                <c:pt idx="3">
                  <c:v>3520</c:v>
                </c:pt>
                <c:pt idx="4">
                  <c:v>1709.5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F-554C-855D-7405F64DB541}"/>
            </c:ext>
          </c:extLst>
        </c:ser>
        <c:ser>
          <c:idx val="2"/>
          <c:order val="2"/>
          <c:tx>
            <c:v>Сумма на руки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'Сдельная зарплата'!$A$7:$A$11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'Сдельная зарплата'!$F$7:$F$11</c:f>
              <c:numCache>
                <c:formatCode>_("сом"* #,##0.00_);_("сом"* \(#,##0.00\);_("сом"* "-"??_);_(@_)</c:formatCode>
                <c:ptCount val="5"/>
                <c:pt idx="0">
                  <c:v>12636.75</c:v>
                </c:pt>
                <c:pt idx="1">
                  <c:v>12700</c:v>
                </c:pt>
                <c:pt idx="2">
                  <c:v>12919.5</c:v>
                </c:pt>
                <c:pt idx="3">
                  <c:v>14080</c:v>
                </c:pt>
                <c:pt idx="4">
                  <c:v>11440.5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F-554C-855D-7405F64DB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19519"/>
        <c:axId val="1635062144"/>
      </c:barChart>
      <c:catAx>
        <c:axId val="3261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635062144"/>
        <c:crosses val="autoZero"/>
        <c:auto val="1"/>
        <c:lblAlgn val="ctr"/>
        <c:lblOffset val="100"/>
        <c:noMultiLvlLbl val="0"/>
      </c:catAx>
      <c:valAx>
        <c:axId val="16350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сом&quot;* #,##0.00_);_(&quot;сом&quot;* \(#,##0.00\);_(&quot;сом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326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13</xdr:row>
      <xdr:rowOff>19050</xdr:rowOff>
    </xdr:from>
    <xdr:to>
      <xdr:col>5</xdr:col>
      <xdr:colOff>279400</xdr:colOff>
      <xdr:row>26</xdr:row>
      <xdr:rowOff>120650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DDA6222-3C2A-9A80-A096-5F2B68F1B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297F-4D09-2F42-9B81-6E4BF1C04B77}">
  <dimension ref="A1:F12"/>
  <sheetViews>
    <sheetView tabSelected="1" workbookViewId="0">
      <selection activeCell="D35" sqref="D35"/>
    </sheetView>
  </sheetViews>
  <sheetFormatPr baseColWidth="10" defaultRowHeight="16" x14ac:dyDescent="0.2"/>
  <cols>
    <col min="1" max="1" width="12.5" style="1" bestFit="1" customWidth="1"/>
    <col min="2" max="2" width="14.5" style="1" customWidth="1"/>
    <col min="3" max="3" width="13.6640625" style="1" bestFit="1" customWidth="1"/>
    <col min="4" max="6" width="14.1640625" style="1" bestFit="1" customWidth="1"/>
    <col min="7" max="16384" width="10.83203125" style="1"/>
  </cols>
  <sheetData>
    <row r="1" spans="1:6" x14ac:dyDescent="0.2">
      <c r="A1" s="8" t="s">
        <v>16</v>
      </c>
      <c r="B1" s="8"/>
      <c r="C1" s="9">
        <v>0.13</v>
      </c>
      <c r="D1" s="8" t="s">
        <v>4</v>
      </c>
      <c r="E1" s="8"/>
      <c r="F1" s="9">
        <v>0.2</v>
      </c>
    </row>
    <row r="2" spans="1:6" x14ac:dyDescent="0.2">
      <c r="A2" s="12" t="s">
        <v>5</v>
      </c>
      <c r="B2" s="12"/>
      <c r="C2" s="4">
        <v>125</v>
      </c>
    </row>
    <row r="3" spans="1:6" x14ac:dyDescent="0.2">
      <c r="A3" s="12" t="s">
        <v>6</v>
      </c>
      <c r="B3" s="12"/>
      <c r="C3" s="4">
        <v>200</v>
      </c>
    </row>
    <row r="5" spans="1:6" x14ac:dyDescent="0.2">
      <c r="A5" s="2" t="s">
        <v>7</v>
      </c>
      <c r="B5" s="2"/>
      <c r="C5" s="2"/>
      <c r="D5" s="2"/>
      <c r="E5" s="2"/>
      <c r="F5" s="2"/>
    </row>
    <row r="6" spans="1:6" ht="71" x14ac:dyDescent="0.2">
      <c r="A6" s="10" t="s">
        <v>8</v>
      </c>
      <c r="B6" s="3" t="s">
        <v>15</v>
      </c>
      <c r="C6" s="3" t="s">
        <v>9</v>
      </c>
      <c r="D6" s="3" t="s">
        <v>10</v>
      </c>
      <c r="E6" s="3" t="s">
        <v>11</v>
      </c>
      <c r="F6" s="3" t="s">
        <v>12</v>
      </c>
    </row>
    <row r="7" spans="1:6" x14ac:dyDescent="0.2">
      <c r="A7" s="5" t="s">
        <v>1</v>
      </c>
      <c r="B7" s="5">
        <v>145</v>
      </c>
      <c r="C7" s="5">
        <v>18</v>
      </c>
      <c r="D7" s="7">
        <f>B7*$C$2-C7*$C$3</f>
        <v>14525</v>
      </c>
      <c r="E7" s="7">
        <f>D7*IF(D7&gt;=15000,$F$1,$C$1)</f>
        <v>1888.25</v>
      </c>
      <c r="F7" s="7">
        <f>D7-E7</f>
        <v>12636.75</v>
      </c>
    </row>
    <row r="8" spans="1:6" x14ac:dyDescent="0.2">
      <c r="A8" s="5" t="s">
        <v>13</v>
      </c>
      <c r="B8" s="5">
        <v>135</v>
      </c>
      <c r="C8" s="5">
        <v>5</v>
      </c>
      <c r="D8" s="7">
        <f t="shared" ref="D8:D11" si="0">B8*$C$2-C8*$C$3</f>
        <v>15875</v>
      </c>
      <c r="E8" s="7">
        <f t="shared" ref="E8:E11" si="1">D8*IF(D8&gt;=15000,$F$1,$C$1)</f>
        <v>3175</v>
      </c>
      <c r="F8" s="7">
        <f t="shared" ref="F8:F11" si="2">D8-E8</f>
        <v>12700</v>
      </c>
    </row>
    <row r="9" spans="1:6" x14ac:dyDescent="0.2">
      <c r="A9" s="5" t="s">
        <v>2</v>
      </c>
      <c r="B9" s="5">
        <v>130</v>
      </c>
      <c r="C9" s="5">
        <v>7</v>
      </c>
      <c r="D9" s="7">
        <f t="shared" si="0"/>
        <v>14850</v>
      </c>
      <c r="E9" s="7">
        <f t="shared" si="1"/>
        <v>1930.5</v>
      </c>
      <c r="F9" s="7">
        <f t="shared" si="2"/>
        <v>12919.5</v>
      </c>
    </row>
    <row r="10" spans="1:6" x14ac:dyDescent="0.2">
      <c r="A10" s="5" t="s">
        <v>3</v>
      </c>
      <c r="B10" s="5">
        <v>160</v>
      </c>
      <c r="C10" s="5">
        <v>12</v>
      </c>
      <c r="D10" s="7">
        <f t="shared" si="0"/>
        <v>17600</v>
      </c>
      <c r="E10" s="7">
        <f t="shared" si="1"/>
        <v>3520</v>
      </c>
      <c r="F10" s="7">
        <f t="shared" si="2"/>
        <v>14080</v>
      </c>
    </row>
    <row r="11" spans="1:6" x14ac:dyDescent="0.2">
      <c r="A11" s="5" t="s">
        <v>14</v>
      </c>
      <c r="B11" s="5">
        <v>110</v>
      </c>
      <c r="C11" s="5">
        <v>3</v>
      </c>
      <c r="D11" s="7">
        <f t="shared" si="0"/>
        <v>13150</v>
      </c>
      <c r="E11" s="7">
        <f t="shared" si="1"/>
        <v>1709.5</v>
      </c>
      <c r="F11" s="7">
        <f t="shared" si="2"/>
        <v>11440.5</v>
      </c>
    </row>
    <row r="12" spans="1:6" x14ac:dyDescent="0.2">
      <c r="A12" s="6" t="s">
        <v>0</v>
      </c>
      <c r="B12" s="6">
        <f>SUM(B7:B11)</f>
        <v>680</v>
      </c>
      <c r="C12" s="6">
        <f>SUM(C7:C11)</f>
        <v>45</v>
      </c>
      <c r="D12" s="11">
        <f>SUM(D7:D11)</f>
        <v>76000</v>
      </c>
      <c r="E12" s="11">
        <f>SUM(E7:E11)</f>
        <v>12223.25</v>
      </c>
      <c r="F12" s="11">
        <f>SUM(F7:F11)</f>
        <v>63776.75</v>
      </c>
    </row>
  </sheetData>
  <mergeCells count="5">
    <mergeCell ref="A1:B1"/>
    <mergeCell ref="A2:B2"/>
    <mergeCell ref="A3:B3"/>
    <mergeCell ref="D1:E1"/>
    <mergeCell ref="A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Сдельная зарплата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Iskender Kanimetov</cp:lastModifiedBy>
  <dcterms:created xsi:type="dcterms:W3CDTF">2015-06-05T18:17:20Z</dcterms:created>
  <dcterms:modified xsi:type="dcterms:W3CDTF">2025-12-07T20:46:00Z</dcterms:modified>
</cp:coreProperties>
</file>