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54149BC3-076E-0A4D-B9FF-1CEC5DD3FB79}" xr6:coauthVersionLast="47" xr6:coauthVersionMax="47" xr10:uidLastSave="{00000000-0000-0000-0000-000000000000}"/>
  <bookViews>
    <workbookView xWindow="0" yWindow="860" windowWidth="36000" windowHeight="22520" xr2:uid="{61EFB5DD-5A99-0F42-A07B-C05840A97F57}"/>
  </bookViews>
  <sheets>
    <sheet name="Табель учета" sheetId="1" r:id="rId1"/>
  </sheets>
  <definedNames>
    <definedName name="_xlchart.v1.0" hidden="1">'Табель учета'!$AE$6:$AE$12</definedName>
    <definedName name="_xlchart.v1.1" hidden="1">'Табель учета'!$B$6:$B$12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" l="1"/>
  <c r="AB7" i="1"/>
  <c r="AB8" i="1"/>
  <c r="AB9" i="1"/>
  <c r="AB10" i="1"/>
  <c r="AB11" i="1"/>
  <c r="AB12" i="1"/>
  <c r="AB6" i="1"/>
  <c r="AA9" i="1"/>
  <c r="AE9" i="1" s="1"/>
  <c r="AF9" i="1" s="1"/>
  <c r="AA6" i="1"/>
  <c r="AF6" i="1" s="1"/>
  <c r="AD12" i="1"/>
  <c r="AC12" i="1"/>
  <c r="AA12" i="1"/>
  <c r="AE12" i="1" s="1"/>
  <c r="AF12" i="1" s="1"/>
  <c r="AD11" i="1"/>
  <c r="AC11" i="1"/>
  <c r="AA11" i="1"/>
  <c r="AE11" i="1" s="1"/>
  <c r="AF11" i="1" s="1"/>
  <c r="AD10" i="1"/>
  <c r="AC10" i="1"/>
  <c r="AA10" i="1"/>
  <c r="AE10" i="1" s="1"/>
  <c r="AF10" i="1" s="1"/>
  <c r="AD9" i="1"/>
  <c r="AC9" i="1"/>
  <c r="AD8" i="1"/>
  <c r="AC8" i="1"/>
  <c r="AA8" i="1"/>
  <c r="AE8" i="1" s="1"/>
  <c r="AF8" i="1" s="1"/>
  <c r="AD7" i="1"/>
  <c r="AC7" i="1"/>
  <c r="AA7" i="1"/>
  <c r="AE7" i="1" s="1"/>
  <c r="AF7" i="1" s="1"/>
  <c r="AD6" i="1"/>
  <c r="AC6" i="1"/>
</calcChain>
</file>

<file path=xl/sharedStrings.xml><?xml version="1.0" encoding="utf-8"?>
<sst xmlns="http://schemas.openxmlformats.org/spreadsheetml/2006/main" count="73" uniqueCount="27">
  <si>
    <t>ТАБЕЛЬ УЧЕТА РАБОЧЕГО ВРЕМЕНИ И РАСЧЕТА ЗАРПЛАТЫ</t>
  </si>
  <si>
    <t>№ п/п</t>
  </si>
  <si>
    <t>Ф.И.О</t>
  </si>
  <si>
    <t>Должность</t>
  </si>
  <si>
    <t>Числа месяца</t>
  </si>
  <si>
    <t>Дни неявок</t>
  </si>
  <si>
    <t>Отработано часов</t>
  </si>
  <si>
    <t>Начислено</t>
  </si>
  <si>
    <t>Дни явок</t>
  </si>
  <si>
    <t>отпуск</t>
  </si>
  <si>
    <t>прогул</t>
  </si>
  <si>
    <t>Борисова О.В.</t>
  </si>
  <si>
    <t>профессор</t>
  </si>
  <si>
    <t>Иванов О.Р.</t>
  </si>
  <si>
    <t>доцент</t>
  </si>
  <si>
    <t>Климова С.С.</t>
  </si>
  <si>
    <t>ассистент</t>
  </si>
  <si>
    <t>п</t>
  </si>
  <si>
    <t>б</t>
  </si>
  <si>
    <t>Николоева Н.Н.</t>
  </si>
  <si>
    <t>Соколова И.Д.</t>
  </si>
  <si>
    <t>Федоров М.И.</t>
  </si>
  <si>
    <t>Чернов П.К.</t>
  </si>
  <si>
    <t>ЗА ОКТЯБРЬ 2020г</t>
  </si>
  <si>
    <t>о</t>
  </si>
  <si>
    <t>б/лист</t>
  </si>
  <si>
    <t>Оплата/час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</si>
</sst>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сом&quot;_-;\-* #,##0.00\ &quot;сом&quot;_-;_-* &quot;-&quot;??\ &quot;сом&quot;_-;_-@_-"/>
  </numFmts>
  <fonts count="5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2"/>
      <color rgb="FFFF0000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9" xfId="0" applyFont="1" applyBorder="1"/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textRotation="90"/>
    </xf>
    <xf numFmtId="14" fontId="0" fillId="0" borderId="4" xfId="0" applyNumberFormat="1" applyFont="1" applyBorder="1" applyAlignment="1">
      <alignment horizontal="center" vertical="center" textRotation="90"/>
    </xf>
    <xf numFmtId="0" fontId="2" fillId="0" borderId="4" xfId="0" applyFont="1" applyBorder="1"/>
    <xf numFmtId="0" fontId="0" fillId="0" borderId="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4" fontId="0" fillId="0" borderId="4" xfId="1" applyFont="1" applyBorder="1"/>
    <xf numFmtId="0" fontId="2" fillId="0" borderId="4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2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Отработано</a:t>
            </a:r>
            <a:r>
              <a:rPr lang="ru-RU" baseline="0"/>
              <a:t> часов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B w="127000" h="127000"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544B-5643-94BD-7D9D429943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44B-5643-94BD-7D9D429943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44B-5643-94BD-7D9D429943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544B-5643-94BD-7D9D429943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44B-5643-94BD-7D9D429943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544B-5643-94BD-7D9D429943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544B-5643-94BD-7D9D429943C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44B-5643-94BD-7D9D429943C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44B-5643-94BD-7D9D429943C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44B-5643-94BD-7D9D429943C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544B-5643-94BD-7D9D429943C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44B-5643-94BD-7D9D429943C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544B-5643-94BD-7D9D429943C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44B-5643-94BD-7D9D429943CE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'Табель учета'!$B$6:$B$12</c:f>
              <c:strCache>
                <c:ptCount val="7"/>
                <c:pt idx="0">
                  <c:v>Борисова О.В.</c:v>
                </c:pt>
                <c:pt idx="1">
                  <c:v>Иванов О.Р.</c:v>
                </c:pt>
                <c:pt idx="2">
                  <c:v>Климова С.С.</c:v>
                </c:pt>
                <c:pt idx="3">
                  <c:v>Николоева Н.Н.</c:v>
                </c:pt>
                <c:pt idx="4">
                  <c:v>Соколова И.Д.</c:v>
                </c:pt>
                <c:pt idx="5">
                  <c:v>Федоров М.И.</c:v>
                </c:pt>
                <c:pt idx="6">
                  <c:v>Чернов П.К.</c:v>
                </c:pt>
              </c:strCache>
            </c:strRef>
          </c:cat>
          <c:val>
            <c:numRef>
              <c:f>'Табель учета'!$AE$6:$AE$12</c:f>
              <c:numCache>
                <c:formatCode>General</c:formatCode>
                <c:ptCount val="7"/>
                <c:pt idx="0">
                  <c:v>112</c:v>
                </c:pt>
                <c:pt idx="1">
                  <c:v>120</c:v>
                </c:pt>
                <c:pt idx="2">
                  <c:v>120</c:v>
                </c:pt>
                <c:pt idx="3">
                  <c:v>176</c:v>
                </c:pt>
                <c:pt idx="4">
                  <c:v>128</c:v>
                </c:pt>
                <c:pt idx="5">
                  <c:v>136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B-5643-94BD-7D9D429943C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Начислено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KG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1.3778764255325059E-2"/>
                  <c:y val="-0.3097826569018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46D-D943-88C8-A81A93DBE771}"/>
                </c:ext>
              </c:extLst>
            </c:dLbl>
            <c:dLbl>
              <c:idx val="1"/>
              <c:layout>
                <c:manualLayout>
                  <c:x val="1.6534517106390069E-2"/>
                  <c:y val="-0.2722332439440483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46D-D943-88C8-A81A93DBE771}"/>
                </c:ext>
              </c:extLst>
            </c:dLbl>
            <c:dLbl>
              <c:idx val="2"/>
              <c:layout>
                <c:manualLayout>
                  <c:x val="2.7557528510649613E-3"/>
                  <c:y val="-0.1830533881692740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46D-D943-88C8-A81A93DBE771}"/>
                </c:ext>
              </c:extLst>
            </c:dLbl>
            <c:dLbl>
              <c:idx val="3"/>
              <c:layout>
                <c:manualLayout>
                  <c:x val="0"/>
                  <c:y val="-0.234683830986248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8288" rIns="38100" bIns="19050" anchor="t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G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946D-D943-88C8-A81A93DBE771}"/>
                </c:ext>
              </c:extLst>
            </c:dLbl>
            <c:dLbl>
              <c:idx val="4"/>
              <c:layout>
                <c:manualLayout>
                  <c:x val="-2.7557528510650116E-3"/>
                  <c:y val="-0.281620597183498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6D-D943-88C8-A81A93DBE771}"/>
                </c:ext>
              </c:extLst>
            </c:dLbl>
            <c:dLbl>
              <c:idx val="5"/>
              <c:layout>
                <c:manualLayout>
                  <c:x val="-1.0104310394715795E-16"/>
                  <c:y val="-0.347332069859648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46D-D943-88C8-A81A93DBE771}"/>
                </c:ext>
              </c:extLst>
            </c:dLbl>
            <c:dLbl>
              <c:idx val="6"/>
              <c:layout>
                <c:manualLayout>
                  <c:x val="5.5115057021300233E-3"/>
                  <c:y val="-0.201828094648173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46D-D943-88C8-A81A93DBE7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'Табель учета'!$B$6:$B$12</c:f>
              <c:strCache>
                <c:ptCount val="7"/>
                <c:pt idx="0">
                  <c:v>Борисова О.В.</c:v>
                </c:pt>
                <c:pt idx="1">
                  <c:v>Иванов О.Р.</c:v>
                </c:pt>
                <c:pt idx="2">
                  <c:v>Климова С.С.</c:v>
                </c:pt>
                <c:pt idx="3">
                  <c:v>Николоева Н.Н.</c:v>
                </c:pt>
                <c:pt idx="4">
                  <c:v>Соколова И.Д.</c:v>
                </c:pt>
                <c:pt idx="5">
                  <c:v>Федоров М.И.</c:v>
                </c:pt>
                <c:pt idx="6">
                  <c:v>Чернов П.К.</c:v>
                </c:pt>
              </c:strCache>
            </c:strRef>
          </c:cat>
          <c:val>
            <c:numRef>
              <c:f>'Табель учета'!$AF$6:$AF$12</c:f>
              <c:numCache>
                <c:formatCode>_("сом"* #,##0.00_);_("сом"* \(#,##0.00\);_("сом"* "-"??_);_(@_)</c:formatCode>
                <c:ptCount val="7"/>
                <c:pt idx="0">
                  <c:v>33600</c:v>
                </c:pt>
                <c:pt idx="1">
                  <c:v>30000</c:v>
                </c:pt>
                <c:pt idx="2">
                  <c:v>18000</c:v>
                </c:pt>
                <c:pt idx="3">
                  <c:v>26400</c:v>
                </c:pt>
                <c:pt idx="4">
                  <c:v>32000</c:v>
                </c:pt>
                <c:pt idx="5">
                  <c:v>40800</c:v>
                </c:pt>
                <c:pt idx="6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D-D943-88C8-A81A93DBE7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14629392"/>
        <c:axId val="714609008"/>
        <c:axId val="0"/>
      </c:bar3DChart>
      <c:catAx>
        <c:axId val="71462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714609008"/>
        <c:crosses val="autoZero"/>
        <c:auto val="1"/>
        <c:lblAlgn val="ctr"/>
        <c:lblOffset val="100"/>
        <c:noMultiLvlLbl val="0"/>
      </c:catAx>
      <c:valAx>
        <c:axId val="71460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сом&quot;* #,##0.00_);_(&quot;сом&quot;* \(#,##0.00\);_(&quot;сом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71462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</xdr:colOff>
      <xdr:row>13</xdr:row>
      <xdr:rowOff>15240</xdr:rowOff>
    </xdr:from>
    <xdr:to>
      <xdr:col>8</xdr:col>
      <xdr:colOff>299720</xdr:colOff>
      <xdr:row>26</xdr:row>
      <xdr:rowOff>116840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81E309-0CF7-65E5-3AD3-ECDB2FEF6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9070</xdr:colOff>
      <xdr:row>13</xdr:row>
      <xdr:rowOff>907</xdr:rowOff>
    </xdr:from>
    <xdr:to>
      <xdr:col>23</xdr:col>
      <xdr:colOff>161470</xdr:colOff>
      <xdr:row>26</xdr:row>
      <xdr:rowOff>98878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D8AA95B-A359-FF24-6DB6-A70653616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CA44-C370-1441-92AC-92EAF3F28E12}">
  <dimension ref="A1:AF12"/>
  <sheetViews>
    <sheetView tabSelected="1" topLeftCell="A3" zoomScale="133" workbookViewId="0">
      <selection activeCell="AB21" sqref="AB21"/>
    </sheetView>
  </sheetViews>
  <sheetFormatPr baseColWidth="10" defaultRowHeight="16" x14ac:dyDescent="0.2"/>
  <cols>
    <col min="1" max="1" width="4.33203125" customWidth="1"/>
    <col min="2" max="2" width="14.6640625" customWidth="1"/>
    <col min="4" max="4" width="12.33203125" customWidth="1"/>
    <col min="5" max="30" width="4.83203125" customWidth="1"/>
    <col min="31" max="31" width="5.83203125" customWidth="1"/>
    <col min="32" max="32" width="14" bestFit="1" customWidth="1"/>
  </cols>
  <sheetData>
    <row r="1" spans="1:32" x14ac:dyDescent="0.2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x14ac:dyDescent="0.2">
      <c r="A2" s="17" t="s">
        <v>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8" customHeight="1" x14ac:dyDescent="0.2">
      <c r="A4" s="5" t="s">
        <v>1</v>
      </c>
      <c r="B4" s="6" t="s">
        <v>2</v>
      </c>
      <c r="C4" s="6" t="s">
        <v>3</v>
      </c>
      <c r="D4" s="7" t="s">
        <v>26</v>
      </c>
      <c r="E4" s="1" t="s">
        <v>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3"/>
      <c r="AA4" s="26" t="s">
        <v>8</v>
      </c>
      <c r="AB4" s="22" t="s">
        <v>5</v>
      </c>
      <c r="AC4" s="23"/>
      <c r="AD4" s="24"/>
      <c r="AE4" s="20" t="s">
        <v>6</v>
      </c>
      <c r="AF4" s="7" t="s">
        <v>7</v>
      </c>
    </row>
    <row r="5" spans="1:32" ht="63" customHeight="1" x14ac:dyDescent="0.2">
      <c r="A5" s="8"/>
      <c r="B5" s="9"/>
      <c r="C5" s="9"/>
      <c r="D5" s="10"/>
      <c r="E5" s="11">
        <v>43831</v>
      </c>
      <c r="F5" s="11">
        <v>43832</v>
      </c>
      <c r="G5" s="11">
        <v>43833</v>
      </c>
      <c r="H5" s="11">
        <v>43836</v>
      </c>
      <c r="I5" s="11">
        <v>43837</v>
      </c>
      <c r="J5" s="11">
        <v>43838</v>
      </c>
      <c r="K5" s="11">
        <v>43839</v>
      </c>
      <c r="L5" s="11">
        <v>43840</v>
      </c>
      <c r="M5" s="11">
        <v>43843</v>
      </c>
      <c r="N5" s="11">
        <v>43844</v>
      </c>
      <c r="O5" s="11">
        <v>43845</v>
      </c>
      <c r="P5" s="11">
        <v>43846</v>
      </c>
      <c r="Q5" s="11">
        <v>43847</v>
      </c>
      <c r="R5" s="11">
        <v>43850</v>
      </c>
      <c r="S5" s="11">
        <v>43851</v>
      </c>
      <c r="T5" s="11">
        <v>43852</v>
      </c>
      <c r="U5" s="11">
        <v>43853</v>
      </c>
      <c r="V5" s="11">
        <v>43854</v>
      </c>
      <c r="W5" s="11">
        <v>43857</v>
      </c>
      <c r="X5" s="11">
        <v>43858</v>
      </c>
      <c r="Y5" s="11">
        <v>43859</v>
      </c>
      <c r="Z5" s="11">
        <v>43860</v>
      </c>
      <c r="AA5" s="27"/>
      <c r="AB5" s="19" t="s">
        <v>9</v>
      </c>
      <c r="AC5" s="19" t="s">
        <v>25</v>
      </c>
      <c r="AD5" s="19" t="s">
        <v>10</v>
      </c>
      <c r="AE5" s="21"/>
      <c r="AF5" s="10"/>
    </row>
    <row r="6" spans="1:32" x14ac:dyDescent="0.2">
      <c r="A6" s="25">
        <v>1</v>
      </c>
      <c r="B6" s="12" t="s">
        <v>11</v>
      </c>
      <c r="C6" s="12" t="s">
        <v>12</v>
      </c>
      <c r="D6" s="18">
        <v>300</v>
      </c>
      <c r="E6" s="13">
        <v>8</v>
      </c>
      <c r="F6" s="13">
        <v>8</v>
      </c>
      <c r="G6" s="13">
        <v>8</v>
      </c>
      <c r="H6" s="13">
        <v>8</v>
      </c>
      <c r="I6" s="13">
        <v>8</v>
      </c>
      <c r="J6" s="13" t="s">
        <v>24</v>
      </c>
      <c r="K6" s="13" t="s">
        <v>24</v>
      </c>
      <c r="L6" s="13" t="s">
        <v>24</v>
      </c>
      <c r="M6" s="13" t="s">
        <v>24</v>
      </c>
      <c r="N6" s="13" t="s">
        <v>24</v>
      </c>
      <c r="O6" s="13" t="s">
        <v>24</v>
      </c>
      <c r="P6" s="13" t="s">
        <v>24</v>
      </c>
      <c r="Q6" s="13" t="s">
        <v>24</v>
      </c>
      <c r="R6" s="13">
        <v>8</v>
      </c>
      <c r="S6" s="13">
        <v>8</v>
      </c>
      <c r="T6" s="13">
        <v>8</v>
      </c>
      <c r="U6" s="13">
        <v>8</v>
      </c>
      <c r="V6" s="13">
        <v>8</v>
      </c>
      <c r="W6" s="13">
        <v>8</v>
      </c>
      <c r="X6" s="13">
        <v>8</v>
      </c>
      <c r="Y6" s="13">
        <v>8</v>
      </c>
      <c r="Z6" s="13">
        <v>8</v>
      </c>
      <c r="AA6" s="13">
        <f>COUNT(E6:Z6)</f>
        <v>14</v>
      </c>
      <c r="AB6" s="13">
        <f>COUNTIF(E6:Z6,"о")</f>
        <v>8</v>
      </c>
      <c r="AC6" s="13">
        <f>COUNTIF(E6:Z6,"б")</f>
        <v>0</v>
      </c>
      <c r="AD6" s="13">
        <f>COUNTIF(E6:Z6,"п")</f>
        <v>0</v>
      </c>
      <c r="AE6" s="13">
        <f>AA6*8</f>
        <v>112</v>
      </c>
      <c r="AF6" s="18">
        <f>AE6*D6</f>
        <v>33600</v>
      </c>
    </row>
    <row r="7" spans="1:32" x14ac:dyDescent="0.2">
      <c r="A7" s="25">
        <v>2</v>
      </c>
      <c r="B7" s="12" t="s">
        <v>13</v>
      </c>
      <c r="C7" s="12" t="s">
        <v>14</v>
      </c>
      <c r="D7" s="18">
        <v>250</v>
      </c>
      <c r="E7" s="13">
        <v>8</v>
      </c>
      <c r="F7" s="13">
        <v>8</v>
      </c>
      <c r="G7" s="13">
        <v>8</v>
      </c>
      <c r="H7" s="13">
        <v>8</v>
      </c>
      <c r="I7" s="13">
        <v>8</v>
      </c>
      <c r="J7" s="13">
        <v>8</v>
      </c>
      <c r="K7" s="13">
        <v>8</v>
      </c>
      <c r="L7" s="13">
        <v>8</v>
      </c>
      <c r="M7" s="13">
        <v>8</v>
      </c>
      <c r="N7" s="13">
        <v>8</v>
      </c>
      <c r="O7" s="13" t="s">
        <v>24</v>
      </c>
      <c r="P7" s="13" t="s">
        <v>24</v>
      </c>
      <c r="Q7" s="13" t="s">
        <v>24</v>
      </c>
      <c r="R7" s="13" t="s">
        <v>24</v>
      </c>
      <c r="S7" s="13" t="s">
        <v>24</v>
      </c>
      <c r="T7" s="13" t="s">
        <v>24</v>
      </c>
      <c r="U7" s="13" t="s">
        <v>24</v>
      </c>
      <c r="V7" s="14">
        <v>8</v>
      </c>
      <c r="W7" s="13">
        <v>8</v>
      </c>
      <c r="X7" s="13">
        <v>8</v>
      </c>
      <c r="Y7" s="13">
        <v>8</v>
      </c>
      <c r="Z7" s="13">
        <v>8</v>
      </c>
      <c r="AA7" s="13">
        <f t="shared" ref="AA7:AA12" si="0">COUNT(E7:Z7)</f>
        <v>15</v>
      </c>
      <c r="AB7" s="13">
        <f t="shared" ref="AB7:AB12" si="1">COUNTIF(E7:Z7,"о")</f>
        <v>7</v>
      </c>
      <c r="AC7" s="13">
        <f t="shared" ref="AC7:AC12" si="2">COUNTIF(E7:Z7,"б")</f>
        <v>0</v>
      </c>
      <c r="AD7" s="13">
        <f t="shared" ref="AD7:AD12" si="3">COUNTIF(E7:Z7,"п")</f>
        <v>0</v>
      </c>
      <c r="AE7" s="13">
        <f t="shared" ref="AE7:AE12" si="4">AA7*8</f>
        <v>120</v>
      </c>
      <c r="AF7" s="18">
        <f t="shared" ref="AF7:AF12" si="5">AE7*D7</f>
        <v>30000</v>
      </c>
    </row>
    <row r="8" spans="1:32" x14ac:dyDescent="0.2">
      <c r="A8" s="25">
        <v>3</v>
      </c>
      <c r="B8" s="12" t="s">
        <v>15</v>
      </c>
      <c r="C8" s="12" t="s">
        <v>16</v>
      </c>
      <c r="D8" s="18">
        <v>150</v>
      </c>
      <c r="E8" s="13">
        <v>8</v>
      </c>
      <c r="F8" s="13">
        <v>8</v>
      </c>
      <c r="G8" s="13" t="s">
        <v>17</v>
      </c>
      <c r="H8" s="13" t="s">
        <v>17</v>
      </c>
      <c r="I8" s="13" t="s">
        <v>18</v>
      </c>
      <c r="J8" s="13" t="s">
        <v>18</v>
      </c>
      <c r="K8" s="13" t="s">
        <v>18</v>
      </c>
      <c r="L8" s="13" t="s">
        <v>18</v>
      </c>
      <c r="M8" s="13" t="s">
        <v>18</v>
      </c>
      <c r="N8" s="13">
        <v>8</v>
      </c>
      <c r="O8" s="13">
        <v>8</v>
      </c>
      <c r="P8" s="13">
        <v>8</v>
      </c>
      <c r="Q8" s="13">
        <v>8</v>
      </c>
      <c r="R8" s="13">
        <v>8</v>
      </c>
      <c r="S8" s="13">
        <v>8</v>
      </c>
      <c r="T8" s="13">
        <v>8</v>
      </c>
      <c r="U8" s="13">
        <v>8</v>
      </c>
      <c r="V8" s="13">
        <v>8</v>
      </c>
      <c r="W8" s="13">
        <v>8</v>
      </c>
      <c r="X8" s="13">
        <v>8</v>
      </c>
      <c r="Y8" s="13">
        <v>8</v>
      </c>
      <c r="Z8" s="13">
        <v>8</v>
      </c>
      <c r="AA8" s="13">
        <f t="shared" si="0"/>
        <v>15</v>
      </c>
      <c r="AB8" s="13">
        <f t="shared" si="1"/>
        <v>0</v>
      </c>
      <c r="AC8" s="13">
        <f t="shared" si="2"/>
        <v>5</v>
      </c>
      <c r="AD8" s="13">
        <f t="shared" si="3"/>
        <v>2</v>
      </c>
      <c r="AE8" s="13">
        <f t="shared" si="4"/>
        <v>120</v>
      </c>
      <c r="AF8" s="18">
        <f t="shared" si="5"/>
        <v>18000</v>
      </c>
    </row>
    <row r="9" spans="1:32" x14ac:dyDescent="0.2">
      <c r="A9" s="25">
        <v>4</v>
      </c>
      <c r="B9" s="12" t="s">
        <v>19</v>
      </c>
      <c r="C9" s="12" t="s">
        <v>16</v>
      </c>
      <c r="D9" s="18">
        <v>150</v>
      </c>
      <c r="E9" s="13">
        <v>8</v>
      </c>
      <c r="F9" s="13">
        <v>8</v>
      </c>
      <c r="G9" s="13">
        <v>8</v>
      </c>
      <c r="H9" s="13">
        <v>8</v>
      </c>
      <c r="I9" s="13">
        <v>8</v>
      </c>
      <c r="J9" s="13">
        <v>8</v>
      </c>
      <c r="K9" s="13">
        <v>8</v>
      </c>
      <c r="L9" s="13">
        <v>8</v>
      </c>
      <c r="M9" s="13">
        <v>8</v>
      </c>
      <c r="N9" s="13">
        <v>8</v>
      </c>
      <c r="O9" s="13">
        <v>8</v>
      </c>
      <c r="P9" s="13">
        <v>8</v>
      </c>
      <c r="Q9" s="13">
        <v>8</v>
      </c>
      <c r="R9" s="13">
        <v>8</v>
      </c>
      <c r="S9" s="13">
        <v>8</v>
      </c>
      <c r="T9" s="13">
        <v>8</v>
      </c>
      <c r="U9" s="13">
        <v>8</v>
      </c>
      <c r="V9" s="13">
        <v>8</v>
      </c>
      <c r="W9" s="13">
        <v>8</v>
      </c>
      <c r="X9" s="13">
        <v>8</v>
      </c>
      <c r="Y9" s="13">
        <v>8</v>
      </c>
      <c r="Z9" s="13">
        <v>8</v>
      </c>
      <c r="AA9" s="13">
        <f>COUNT(E9:Z9)</f>
        <v>22</v>
      </c>
      <c r="AB9" s="13">
        <f t="shared" si="1"/>
        <v>0</v>
      </c>
      <c r="AC9" s="13">
        <f t="shared" si="2"/>
        <v>0</v>
      </c>
      <c r="AD9" s="13">
        <f t="shared" si="3"/>
        <v>0</v>
      </c>
      <c r="AE9" s="13">
        <f t="shared" si="4"/>
        <v>176</v>
      </c>
      <c r="AF9" s="18">
        <f t="shared" si="5"/>
        <v>26400</v>
      </c>
    </row>
    <row r="10" spans="1:32" ht="17" x14ac:dyDescent="0.2">
      <c r="A10" s="25">
        <v>5</v>
      </c>
      <c r="B10" s="12" t="s">
        <v>20</v>
      </c>
      <c r="C10" s="12" t="s">
        <v>14</v>
      </c>
      <c r="D10" s="18">
        <v>250</v>
      </c>
      <c r="E10" s="15" t="s">
        <v>18</v>
      </c>
      <c r="F10" s="13" t="s">
        <v>18</v>
      </c>
      <c r="G10" s="13" t="s">
        <v>18</v>
      </c>
      <c r="H10" s="13" t="s">
        <v>18</v>
      </c>
      <c r="I10" s="13" t="s">
        <v>18</v>
      </c>
      <c r="J10" s="13" t="s">
        <v>18</v>
      </c>
      <c r="K10" s="13">
        <v>8</v>
      </c>
      <c r="L10" s="13">
        <v>8</v>
      </c>
      <c r="M10" s="13">
        <v>8</v>
      </c>
      <c r="N10" s="13">
        <v>8</v>
      </c>
      <c r="O10" s="13">
        <v>8</v>
      </c>
      <c r="P10" s="13">
        <v>8</v>
      </c>
      <c r="Q10" s="13">
        <v>8</v>
      </c>
      <c r="R10" s="13">
        <v>8</v>
      </c>
      <c r="S10" s="13">
        <v>8</v>
      </c>
      <c r="T10" s="13">
        <v>8</v>
      </c>
      <c r="U10" s="13">
        <v>8</v>
      </c>
      <c r="V10" s="13">
        <v>8</v>
      </c>
      <c r="W10" s="13">
        <v>8</v>
      </c>
      <c r="X10" s="13">
        <v>8</v>
      </c>
      <c r="Y10" s="13">
        <v>8</v>
      </c>
      <c r="Z10" s="13">
        <v>8</v>
      </c>
      <c r="AA10" s="13">
        <f t="shared" si="0"/>
        <v>16</v>
      </c>
      <c r="AB10" s="13">
        <f t="shared" si="1"/>
        <v>0</v>
      </c>
      <c r="AC10" s="13">
        <f t="shared" si="2"/>
        <v>6</v>
      </c>
      <c r="AD10" s="13">
        <f t="shared" si="3"/>
        <v>0</v>
      </c>
      <c r="AE10" s="13">
        <f t="shared" si="4"/>
        <v>128</v>
      </c>
      <c r="AF10" s="18">
        <f t="shared" si="5"/>
        <v>32000</v>
      </c>
    </row>
    <row r="11" spans="1:32" x14ac:dyDescent="0.2">
      <c r="A11" s="25">
        <v>6</v>
      </c>
      <c r="B11" s="12" t="s">
        <v>21</v>
      </c>
      <c r="C11" s="12" t="s">
        <v>12</v>
      </c>
      <c r="D11" s="18">
        <v>300</v>
      </c>
      <c r="E11" s="13">
        <v>8</v>
      </c>
      <c r="F11" s="13">
        <v>8</v>
      </c>
      <c r="G11" s="13">
        <v>8</v>
      </c>
      <c r="H11" s="13">
        <v>8</v>
      </c>
      <c r="I11" s="13">
        <v>8</v>
      </c>
      <c r="J11" s="13">
        <v>8</v>
      </c>
      <c r="K11" s="13">
        <v>8</v>
      </c>
      <c r="L11" s="13">
        <v>8</v>
      </c>
      <c r="M11" s="13">
        <v>8</v>
      </c>
      <c r="N11" s="13">
        <v>8</v>
      </c>
      <c r="O11" s="13">
        <v>8</v>
      </c>
      <c r="P11" s="13">
        <v>8</v>
      </c>
      <c r="Q11" s="13">
        <v>8</v>
      </c>
      <c r="R11" s="13">
        <v>8</v>
      </c>
      <c r="S11" s="13">
        <v>8</v>
      </c>
      <c r="T11" s="13">
        <v>8</v>
      </c>
      <c r="U11" s="13">
        <v>8</v>
      </c>
      <c r="V11" s="13" t="s">
        <v>24</v>
      </c>
      <c r="W11" s="13" t="s">
        <v>24</v>
      </c>
      <c r="X11" s="13" t="s">
        <v>24</v>
      </c>
      <c r="Y11" s="13" t="s">
        <v>24</v>
      </c>
      <c r="Z11" s="13" t="s">
        <v>24</v>
      </c>
      <c r="AA11" s="13">
        <f t="shared" si="0"/>
        <v>17</v>
      </c>
      <c r="AB11" s="13">
        <f t="shared" si="1"/>
        <v>5</v>
      </c>
      <c r="AC11" s="13">
        <f t="shared" si="2"/>
        <v>0</v>
      </c>
      <c r="AD11" s="13">
        <f t="shared" si="3"/>
        <v>0</v>
      </c>
      <c r="AE11" s="13">
        <f t="shared" si="4"/>
        <v>136</v>
      </c>
      <c r="AF11" s="18">
        <f t="shared" si="5"/>
        <v>40800</v>
      </c>
    </row>
    <row r="12" spans="1:32" x14ac:dyDescent="0.2">
      <c r="A12" s="25">
        <v>7</v>
      </c>
      <c r="B12" s="12" t="s">
        <v>22</v>
      </c>
      <c r="C12" s="12" t="s">
        <v>14</v>
      </c>
      <c r="D12" s="18">
        <v>250</v>
      </c>
      <c r="E12" s="13">
        <v>8</v>
      </c>
      <c r="F12" s="13">
        <v>8</v>
      </c>
      <c r="G12" s="13">
        <v>8</v>
      </c>
      <c r="H12" s="13">
        <v>8</v>
      </c>
      <c r="I12" s="13" t="s">
        <v>24</v>
      </c>
      <c r="J12" s="13" t="s">
        <v>24</v>
      </c>
      <c r="K12" s="13" t="s">
        <v>24</v>
      </c>
      <c r="L12" s="13" t="s">
        <v>24</v>
      </c>
      <c r="M12" s="13" t="s">
        <v>24</v>
      </c>
      <c r="N12" s="13" t="s">
        <v>24</v>
      </c>
      <c r="O12" s="13">
        <v>8</v>
      </c>
      <c r="P12" s="13">
        <v>8</v>
      </c>
      <c r="Q12" s="13">
        <v>8</v>
      </c>
      <c r="R12" s="13">
        <v>8</v>
      </c>
      <c r="S12" s="13">
        <v>8</v>
      </c>
      <c r="T12" s="13">
        <v>8</v>
      </c>
      <c r="U12" s="13" t="s">
        <v>18</v>
      </c>
      <c r="V12" s="13" t="s">
        <v>18</v>
      </c>
      <c r="W12" s="13" t="s">
        <v>18</v>
      </c>
      <c r="X12" s="13" t="s">
        <v>18</v>
      </c>
      <c r="Y12" s="13" t="s">
        <v>18</v>
      </c>
      <c r="Z12" s="13" t="s">
        <v>18</v>
      </c>
      <c r="AA12" s="13">
        <f t="shared" si="0"/>
        <v>10</v>
      </c>
      <c r="AB12" s="13">
        <f t="shared" si="1"/>
        <v>6</v>
      </c>
      <c r="AC12" s="13">
        <f t="shared" si="2"/>
        <v>6</v>
      </c>
      <c r="AD12" s="13">
        <f t="shared" si="3"/>
        <v>0</v>
      </c>
      <c r="AE12" s="13">
        <f t="shared" si="4"/>
        <v>80</v>
      </c>
      <c r="AF12" s="18">
        <f t="shared" si="5"/>
        <v>20000</v>
      </c>
    </row>
  </sheetData>
  <mergeCells count="11">
    <mergeCell ref="AA4:AA5"/>
    <mergeCell ref="A1:AF1"/>
    <mergeCell ref="A2:AF2"/>
    <mergeCell ref="A4:A5"/>
    <mergeCell ref="B4:B5"/>
    <mergeCell ref="C4:C5"/>
    <mergeCell ref="D4:D5"/>
    <mergeCell ref="AB4:AD4"/>
    <mergeCell ref="AE4:AE5"/>
    <mergeCell ref="AF4:AF5"/>
    <mergeCell ref="E4:Z4"/>
  </mergeCells>
  <dataValidations count="1">
    <dataValidation type="decimal" allowBlank="1" showInputMessage="1" showErrorMessage="1" error="ОШИБКА!!!НЕ МЕНЕЕ 150 РУБ. И НЕ БОЛЕЕ 300 РУБ." prompt="БУДЬТЕ ВНИМАТЕЛЬНЫ ПРИ ВВОДЕ ПОЧАСОВОЙ ОПЛАТЫ!!" sqref="D6:D12" xr:uid="{AC4F6D30-679B-7B4A-A534-8C6EBBEC0FAF}">
      <formula1>150</formula1>
      <formula2>300</formula2>
    </dataValidation>
  </dataValidations>
  <pageMargins left="0.7" right="0.7" top="0.75" bottom="0.75" header="0.3" footer="0.3"/>
  <pageSetup paperSize="9" orientation="portrait" horizontalDpi="0" verticalDpi="0"/>
  <ignoredErrors>
    <ignoredError sqref="AA9:AD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Табель учета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2025-12-06T19:13:02Z</dcterms:created>
  <dcterms:modified xsi:type="dcterms:W3CDTF">2025-12-06T19:51:25Z</dcterms:modified>
</cp:coreProperties>
</file>