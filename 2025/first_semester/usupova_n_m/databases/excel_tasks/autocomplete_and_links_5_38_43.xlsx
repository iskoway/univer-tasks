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C2695630-1A07-E844-BAF8-6CBBA39D7E7E}" xr6:coauthVersionLast="47" xr6:coauthVersionMax="47" xr10:uidLastSave="{00000000-0000-0000-0000-000000000000}"/>
  <bookViews>
    <workbookView xWindow="0" yWindow="860" windowWidth="36000" windowHeight="22520" xr2:uid="{BB55343D-895E-604D-BA02-39A9ECB910B0}"/>
  </bookViews>
  <sheets>
    <sheet name="Сортировк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F40" i="1"/>
  <c r="E40" i="1"/>
  <c r="H31" i="1"/>
  <c r="H38" i="1"/>
  <c r="I38" i="1" s="1"/>
  <c r="H33" i="1"/>
  <c r="H34" i="1"/>
  <c r="H36" i="1"/>
  <c r="I36" i="1" s="1"/>
  <c r="H39" i="1"/>
  <c r="H37" i="1"/>
  <c r="H30" i="1"/>
  <c r="H35" i="1"/>
  <c r="I35" i="1" s="1"/>
  <c r="H32" i="1"/>
  <c r="G26" i="1"/>
  <c r="F26" i="1"/>
  <c r="E26" i="1"/>
  <c r="H24" i="1"/>
  <c r="H17" i="1"/>
  <c r="I17" i="1" s="1"/>
  <c r="H21" i="1"/>
  <c r="H23" i="1"/>
  <c r="H19" i="1"/>
  <c r="I19" i="1" s="1"/>
  <c r="H18" i="1"/>
  <c r="H22" i="1"/>
  <c r="H25" i="1"/>
  <c r="I25" i="1" s="1"/>
  <c r="H16" i="1"/>
  <c r="I16" i="1" s="1"/>
  <c r="H20" i="1"/>
  <c r="G12" i="1"/>
  <c r="F12" i="1"/>
  <c r="E12" i="1"/>
  <c r="H8" i="1"/>
  <c r="H11" i="1"/>
  <c r="H4" i="1"/>
  <c r="I4" i="1" s="1"/>
  <c r="H3" i="1"/>
  <c r="I3" i="1" s="1"/>
  <c r="H5" i="1"/>
  <c r="H10" i="1"/>
  <c r="H7" i="1"/>
  <c r="H9" i="1"/>
  <c r="I9" i="1" s="1"/>
  <c r="H6" i="1"/>
  <c r="H2" i="1"/>
  <c r="H12" i="1" l="1"/>
  <c r="I8" i="1"/>
  <c r="J8" i="1" s="1"/>
  <c r="J33" i="1"/>
  <c r="J32" i="1"/>
  <c r="I39" i="1"/>
  <c r="J39" i="1" s="1"/>
  <c r="J38" i="1"/>
  <c r="I31" i="1"/>
  <c r="J31" i="1" s="1"/>
  <c r="J36" i="1"/>
  <c r="I34" i="1"/>
  <c r="J34" i="1" s="1"/>
  <c r="H40" i="1"/>
  <c r="J35" i="1"/>
  <c r="I37" i="1"/>
  <c r="J37" i="1" s="1"/>
  <c r="I33" i="1"/>
  <c r="I32" i="1"/>
  <c r="I30" i="1"/>
  <c r="J30" i="1" s="1"/>
  <c r="J20" i="1"/>
  <c r="I18" i="1"/>
  <c r="J18" i="1" s="1"/>
  <c r="J17" i="1"/>
  <c r="I24" i="1"/>
  <c r="J24" i="1" s="1"/>
  <c r="J19" i="1"/>
  <c r="J25" i="1"/>
  <c r="H26" i="1"/>
  <c r="J16" i="1"/>
  <c r="I22" i="1"/>
  <c r="J22" i="1" s="1"/>
  <c r="I21" i="1"/>
  <c r="J21" i="1" s="1"/>
  <c r="I20" i="1"/>
  <c r="I23" i="1"/>
  <c r="J23" i="1" s="1"/>
  <c r="J11" i="1"/>
  <c r="I6" i="1"/>
  <c r="J6" i="1" s="1"/>
  <c r="J3" i="1"/>
  <c r="I7" i="1"/>
  <c r="J7" i="1" s="1"/>
  <c r="I5" i="1"/>
  <c r="J5" i="1" s="1"/>
  <c r="J9" i="1"/>
  <c r="J4" i="1"/>
  <c r="I2" i="1"/>
  <c r="J2" i="1" s="1"/>
  <c r="I10" i="1"/>
  <c r="J10" i="1" s="1"/>
  <c r="I11" i="1"/>
  <c r="J12" i="1" l="1"/>
  <c r="I12" i="1"/>
  <c r="J40" i="1"/>
  <c r="I40" i="1"/>
  <c r="I26" i="1"/>
  <c r="J26" i="1"/>
</calcChain>
</file>

<file path=xl/sharedStrings.xml><?xml version="1.0" encoding="utf-8"?>
<sst xmlns="http://schemas.openxmlformats.org/spreadsheetml/2006/main" count="123" uniqueCount="35">
  <si>
    <t xml:space="preserve">    Всего начислено</t>
  </si>
  <si>
    <t>Всего удержано</t>
  </si>
  <si>
    <t>Сумма к выдаче</t>
  </si>
  <si>
    <t>Петров</t>
  </si>
  <si>
    <t>Евгений</t>
  </si>
  <si>
    <t>Федорович</t>
  </si>
  <si>
    <t>Борисова</t>
  </si>
  <si>
    <t>Елена</t>
  </si>
  <si>
    <t>Васильевна</t>
  </si>
  <si>
    <t>Иванов</t>
  </si>
  <si>
    <t>Иван</t>
  </si>
  <si>
    <t>Иванович</t>
  </si>
  <si>
    <t>Федров</t>
  </si>
  <si>
    <t>Евгеньевич</t>
  </si>
  <si>
    <t>Никанор</t>
  </si>
  <si>
    <t>Петрович</t>
  </si>
  <si>
    <t>Петрова</t>
  </si>
  <si>
    <t>Ирина</t>
  </si>
  <si>
    <t>Николаевна</t>
  </si>
  <si>
    <t>Андреевич</t>
  </si>
  <si>
    <t>Григорьев</t>
  </si>
  <si>
    <t>Яков</t>
  </si>
  <si>
    <t>Васильевич</t>
  </si>
  <si>
    <t>Алексей</t>
  </si>
  <si>
    <t>Алексеевич</t>
  </si>
  <si>
    <t>Яковлев</t>
  </si>
  <si>
    <t>Сергей</t>
  </si>
  <si>
    <t>Январь</t>
  </si>
  <si>
    <t>Февраль</t>
  </si>
  <si>
    <t xml:space="preserve"> Март</t>
  </si>
  <si>
    <t>Фамилия</t>
  </si>
  <si>
    <t>Имя</t>
  </si>
  <si>
    <t>Отчество</t>
  </si>
  <si>
    <t>№ п/п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</si>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</sst>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Border="1"/>
    <xf numFmtId="0" fontId="0" fillId="0" borderId="0" xfId="0" applyBorder="1"/>
    <xf numFmtId="0" fontId="2" fillId="0" borderId="1" xfId="0" applyFont="1" applyBorder="1" applyAlignment="1">
      <alignment horizontal="right"/>
    </xf>
    <xf numFmtId="4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36E2-DDB3-6E48-8B33-2A120FDD3D07}">
  <dimension ref="A1:J40"/>
  <sheetViews>
    <sheetView tabSelected="1" workbookViewId="0">
      <selection activeCell="N13" sqref="N13"/>
    </sheetView>
  </sheetViews>
  <sheetFormatPr baseColWidth="10" defaultRowHeight="16" x14ac:dyDescent="0.2"/>
  <cols>
    <col min="1" max="1" width="4.83203125" customWidth="1"/>
    <col min="5" max="10" width="15" bestFit="1" customWidth="1"/>
  </cols>
  <sheetData>
    <row r="1" spans="1:10" ht="69" customHeight="1" x14ac:dyDescent="0.2">
      <c r="A1" s="3" t="s">
        <v>33</v>
      </c>
      <c r="B1" s="10" t="s">
        <v>30</v>
      </c>
      <c r="C1" s="10" t="s">
        <v>31</v>
      </c>
      <c r="D1" s="10" t="s">
        <v>32</v>
      </c>
      <c r="E1" s="2" t="s">
        <v>27</v>
      </c>
      <c r="F1" s="2" t="s">
        <v>28</v>
      </c>
      <c r="G1" s="2" t="s">
        <v>29</v>
      </c>
      <c r="H1" s="3" t="s">
        <v>0</v>
      </c>
      <c r="I1" s="3" t="s">
        <v>1</v>
      </c>
      <c r="J1" s="3" t="s">
        <v>2</v>
      </c>
    </row>
    <row r="2" spans="1:10" x14ac:dyDescent="0.2">
      <c r="A2" s="9">
        <v>1</v>
      </c>
      <c r="B2" s="1" t="s">
        <v>6</v>
      </c>
      <c r="C2" s="1" t="s">
        <v>7</v>
      </c>
      <c r="D2" s="1" t="s">
        <v>8</v>
      </c>
      <c r="E2" s="5">
        <v>29560</v>
      </c>
      <c r="F2" s="5">
        <v>26560</v>
      </c>
      <c r="G2" s="5">
        <v>28500</v>
      </c>
      <c r="H2" s="5">
        <f>E2+F2+G2</f>
        <v>84620</v>
      </c>
      <c r="I2" s="5">
        <f>H2*13%</f>
        <v>11000.6</v>
      </c>
      <c r="J2" s="5">
        <f>H2-I2</f>
        <v>73619.399999999994</v>
      </c>
    </row>
    <row r="3" spans="1:10" x14ac:dyDescent="0.2">
      <c r="A3" s="9">
        <v>2</v>
      </c>
      <c r="B3" s="1" t="s">
        <v>20</v>
      </c>
      <c r="C3" s="1" t="s">
        <v>21</v>
      </c>
      <c r="D3" s="1" t="s">
        <v>22</v>
      </c>
      <c r="E3" s="5">
        <v>27890</v>
      </c>
      <c r="F3" s="5">
        <v>27500</v>
      </c>
      <c r="G3" s="5">
        <v>26680</v>
      </c>
      <c r="H3" s="5">
        <f>E3+F3+G3</f>
        <v>82070</v>
      </c>
      <c r="I3" s="5">
        <f>H3*13%</f>
        <v>10669.1</v>
      </c>
      <c r="J3" s="5">
        <f>H3-I3</f>
        <v>71400.899999999994</v>
      </c>
    </row>
    <row r="4" spans="1:10" x14ac:dyDescent="0.2">
      <c r="A4" s="9">
        <v>3</v>
      </c>
      <c r="B4" s="1" t="s">
        <v>9</v>
      </c>
      <c r="C4" s="1" t="s">
        <v>23</v>
      </c>
      <c r="D4" s="1" t="s">
        <v>24</v>
      </c>
      <c r="E4" s="5">
        <v>29540</v>
      </c>
      <c r="F4" s="5">
        <v>28650</v>
      </c>
      <c r="G4" s="5">
        <v>28450</v>
      </c>
      <c r="H4" s="5">
        <f>E4+F4+G4</f>
        <v>86640</v>
      </c>
      <c r="I4" s="5">
        <f>H4*13%</f>
        <v>11263.2</v>
      </c>
      <c r="J4" s="5">
        <f>H4-I4</f>
        <v>75376.800000000003</v>
      </c>
    </row>
    <row r="5" spans="1:10" x14ac:dyDescent="0.2">
      <c r="A5" s="9">
        <v>4</v>
      </c>
      <c r="B5" s="1" t="s">
        <v>9</v>
      </c>
      <c r="C5" s="1" t="s">
        <v>10</v>
      </c>
      <c r="D5" s="1" t="s">
        <v>19</v>
      </c>
      <c r="E5" s="5">
        <v>27260</v>
      </c>
      <c r="F5" s="5">
        <v>29100</v>
      </c>
      <c r="G5" s="5">
        <v>27690</v>
      </c>
      <c r="H5" s="5">
        <f>E5+F5+G5</f>
        <v>84050</v>
      </c>
      <c r="I5" s="5">
        <f>H5*13%</f>
        <v>10926.5</v>
      </c>
      <c r="J5" s="5">
        <f>H5-I5</f>
        <v>73123.5</v>
      </c>
    </row>
    <row r="6" spans="1:10" x14ac:dyDescent="0.2">
      <c r="A6" s="9">
        <v>5</v>
      </c>
      <c r="B6" s="1" t="s">
        <v>9</v>
      </c>
      <c r="C6" s="1" t="s">
        <v>10</v>
      </c>
      <c r="D6" s="1" t="s">
        <v>11</v>
      </c>
      <c r="E6" s="5">
        <v>26250</v>
      </c>
      <c r="F6" s="5">
        <v>26500</v>
      </c>
      <c r="G6" s="5">
        <v>27560</v>
      </c>
      <c r="H6" s="5">
        <f>E6+F6+G6</f>
        <v>80310</v>
      </c>
      <c r="I6" s="5">
        <f>H6*13%</f>
        <v>10440.300000000001</v>
      </c>
      <c r="J6" s="5">
        <f>H6-I6</f>
        <v>69869.7</v>
      </c>
    </row>
    <row r="7" spans="1:10" x14ac:dyDescent="0.2">
      <c r="A7" s="9">
        <v>6</v>
      </c>
      <c r="B7" s="1" t="s">
        <v>9</v>
      </c>
      <c r="C7" s="1" t="s">
        <v>14</v>
      </c>
      <c r="D7" s="1" t="s">
        <v>15</v>
      </c>
      <c r="E7" s="5">
        <v>29310</v>
      </c>
      <c r="F7" s="5">
        <v>29350</v>
      </c>
      <c r="G7" s="5">
        <v>28800</v>
      </c>
      <c r="H7" s="5">
        <f>E7+F7+G7</f>
        <v>87460</v>
      </c>
      <c r="I7" s="5">
        <f>H7*13%</f>
        <v>11369.800000000001</v>
      </c>
      <c r="J7" s="5">
        <f>H7-I7</f>
        <v>76090.2</v>
      </c>
    </row>
    <row r="8" spans="1:10" x14ac:dyDescent="0.2">
      <c r="A8" s="9">
        <v>7</v>
      </c>
      <c r="B8" s="1" t="s">
        <v>3</v>
      </c>
      <c r="C8" s="1" t="s">
        <v>4</v>
      </c>
      <c r="D8" s="1" t="s">
        <v>5</v>
      </c>
      <c r="E8" s="5">
        <v>28120</v>
      </c>
      <c r="F8" s="5">
        <v>27650</v>
      </c>
      <c r="G8" s="5">
        <v>26270</v>
      </c>
      <c r="H8" s="5">
        <f>E8+F8+G8</f>
        <v>82040</v>
      </c>
      <c r="I8" s="5">
        <f>H8*13%</f>
        <v>10665.2</v>
      </c>
      <c r="J8" s="5">
        <f>H8-I8</f>
        <v>71374.8</v>
      </c>
    </row>
    <row r="9" spans="1:10" x14ac:dyDescent="0.2">
      <c r="A9" s="9">
        <v>8</v>
      </c>
      <c r="B9" s="1" t="s">
        <v>3</v>
      </c>
      <c r="C9" s="1" t="s">
        <v>12</v>
      </c>
      <c r="D9" s="1" t="s">
        <v>13</v>
      </c>
      <c r="E9" s="5">
        <v>27350</v>
      </c>
      <c r="F9" s="5">
        <v>28100</v>
      </c>
      <c r="G9" s="5">
        <v>29800</v>
      </c>
      <c r="H9" s="5">
        <f>E9+F9+G9</f>
        <v>85250</v>
      </c>
      <c r="I9" s="5">
        <f>H9*13%</f>
        <v>11082.5</v>
      </c>
      <c r="J9" s="5">
        <f>H9-I9</f>
        <v>74167.5</v>
      </c>
    </row>
    <row r="10" spans="1:10" x14ac:dyDescent="0.2">
      <c r="A10" s="9">
        <v>9</v>
      </c>
      <c r="B10" s="1" t="s">
        <v>16</v>
      </c>
      <c r="C10" s="1" t="s">
        <v>17</v>
      </c>
      <c r="D10" s="1" t="s">
        <v>18</v>
      </c>
      <c r="E10" s="5">
        <v>28320</v>
      </c>
      <c r="F10" s="5">
        <v>27680</v>
      </c>
      <c r="G10" s="5">
        <v>29100</v>
      </c>
      <c r="H10" s="5">
        <f>E10+F10+G10</f>
        <v>85100</v>
      </c>
      <c r="I10" s="5">
        <f>H10*13%</f>
        <v>11063</v>
      </c>
      <c r="J10" s="5">
        <f>H10-I10</f>
        <v>74037</v>
      </c>
    </row>
    <row r="11" spans="1:10" x14ac:dyDescent="0.2">
      <c r="A11" s="9">
        <v>10</v>
      </c>
      <c r="B11" s="1" t="s">
        <v>25</v>
      </c>
      <c r="C11" s="1" t="s">
        <v>26</v>
      </c>
      <c r="D11" s="1" t="s">
        <v>19</v>
      </c>
      <c r="E11" s="5">
        <v>26290</v>
      </c>
      <c r="F11" s="5">
        <v>26270</v>
      </c>
      <c r="G11" s="5">
        <v>27900</v>
      </c>
      <c r="H11" s="5">
        <f>E11+F11+G11</f>
        <v>80460</v>
      </c>
      <c r="I11" s="5">
        <f>H11*13%</f>
        <v>10459.800000000001</v>
      </c>
      <c r="J11" s="5">
        <f>H11-I11</f>
        <v>70000.2</v>
      </c>
    </row>
    <row r="12" spans="1:10" x14ac:dyDescent="0.2">
      <c r="A12" s="6"/>
      <c r="B12" s="6"/>
      <c r="C12" s="6"/>
      <c r="D12" s="7" t="s">
        <v>34</v>
      </c>
      <c r="E12" s="8">
        <f>SUM(E2:E11)</f>
        <v>279890</v>
      </c>
      <c r="F12" s="8">
        <f>SUM(F2:F11)</f>
        <v>277360</v>
      </c>
      <c r="G12" s="8">
        <f>SUM(G2:G11)</f>
        <v>280750</v>
      </c>
      <c r="H12" s="8">
        <f>SUM(H2:H11)</f>
        <v>838000</v>
      </c>
      <c r="I12" s="8">
        <f>SUM(I2:I11)</f>
        <v>108940</v>
      </c>
      <c r="J12" s="8">
        <f>SUM(J2:J11)</f>
        <v>729060</v>
      </c>
    </row>
    <row r="15" spans="1:10" ht="48" x14ac:dyDescent="0.2">
      <c r="A15" s="3" t="s">
        <v>33</v>
      </c>
      <c r="B15" s="4" t="s">
        <v>30</v>
      </c>
      <c r="C15" s="4" t="s">
        <v>31</v>
      </c>
      <c r="D15" s="4" t="s">
        <v>32</v>
      </c>
      <c r="E15" s="11" t="s">
        <v>27</v>
      </c>
      <c r="F15" s="2" t="s">
        <v>28</v>
      </c>
      <c r="G15" s="2" t="s">
        <v>29</v>
      </c>
      <c r="H15" s="3" t="s">
        <v>0</v>
      </c>
      <c r="I15" s="3" t="s">
        <v>1</v>
      </c>
      <c r="J15" s="3" t="s">
        <v>2</v>
      </c>
    </row>
    <row r="16" spans="1:10" x14ac:dyDescent="0.2">
      <c r="A16" s="9">
        <v>1</v>
      </c>
      <c r="B16" s="1" t="s">
        <v>6</v>
      </c>
      <c r="C16" s="1" t="s">
        <v>7</v>
      </c>
      <c r="D16" s="1" t="s">
        <v>8</v>
      </c>
      <c r="E16" s="5">
        <v>29560</v>
      </c>
      <c r="F16" s="5">
        <v>26560</v>
      </c>
      <c r="G16" s="5">
        <v>28500</v>
      </c>
      <c r="H16" s="5">
        <f>E16+F16+G16</f>
        <v>84620</v>
      </c>
      <c r="I16" s="5">
        <f>H16*13%</f>
        <v>11000.6</v>
      </c>
      <c r="J16" s="5">
        <f>H16-I16</f>
        <v>73619.399999999994</v>
      </c>
    </row>
    <row r="17" spans="1:10" x14ac:dyDescent="0.2">
      <c r="A17" s="9">
        <v>2</v>
      </c>
      <c r="B17" s="1" t="s">
        <v>9</v>
      </c>
      <c r="C17" s="1" t="s">
        <v>23</v>
      </c>
      <c r="D17" s="1" t="s">
        <v>24</v>
      </c>
      <c r="E17" s="5">
        <v>29540</v>
      </c>
      <c r="F17" s="5">
        <v>28650</v>
      </c>
      <c r="G17" s="5">
        <v>28450</v>
      </c>
      <c r="H17" s="5">
        <f>E17+F17+G17</f>
        <v>86640</v>
      </c>
      <c r="I17" s="5">
        <f>H17*13%</f>
        <v>11263.2</v>
      </c>
      <c r="J17" s="5">
        <f>H17-I17</f>
        <v>75376.800000000003</v>
      </c>
    </row>
    <row r="18" spans="1:10" x14ac:dyDescent="0.2">
      <c r="A18" s="9">
        <v>3</v>
      </c>
      <c r="B18" s="1" t="s">
        <v>9</v>
      </c>
      <c r="C18" s="1" t="s">
        <v>14</v>
      </c>
      <c r="D18" s="1" t="s">
        <v>15</v>
      </c>
      <c r="E18" s="5">
        <v>29310</v>
      </c>
      <c r="F18" s="5">
        <v>29350</v>
      </c>
      <c r="G18" s="5">
        <v>28800</v>
      </c>
      <c r="H18" s="5">
        <f>E18+F18+G18</f>
        <v>87460</v>
      </c>
      <c r="I18" s="5">
        <f>H18*13%</f>
        <v>11369.800000000001</v>
      </c>
      <c r="J18" s="5">
        <f>H18-I18</f>
        <v>76090.2</v>
      </c>
    </row>
    <row r="19" spans="1:10" x14ac:dyDescent="0.2">
      <c r="A19" s="9">
        <v>4</v>
      </c>
      <c r="B19" s="1" t="s">
        <v>16</v>
      </c>
      <c r="C19" s="1" t="s">
        <v>17</v>
      </c>
      <c r="D19" s="1" t="s">
        <v>18</v>
      </c>
      <c r="E19" s="5">
        <v>28320</v>
      </c>
      <c r="F19" s="5">
        <v>27680</v>
      </c>
      <c r="G19" s="5">
        <v>29100</v>
      </c>
      <c r="H19" s="5">
        <f>E19+F19+G19</f>
        <v>85100</v>
      </c>
      <c r="I19" s="5">
        <f>H19*13%</f>
        <v>11063</v>
      </c>
      <c r="J19" s="5">
        <f>H19-I19</f>
        <v>74037</v>
      </c>
    </row>
    <row r="20" spans="1:10" x14ac:dyDescent="0.2">
      <c r="A20" s="9">
        <v>5</v>
      </c>
      <c r="B20" s="1" t="s">
        <v>3</v>
      </c>
      <c r="C20" s="1" t="s">
        <v>4</v>
      </c>
      <c r="D20" s="1" t="s">
        <v>5</v>
      </c>
      <c r="E20" s="5">
        <v>28120</v>
      </c>
      <c r="F20" s="5">
        <v>27650</v>
      </c>
      <c r="G20" s="5">
        <v>26270</v>
      </c>
      <c r="H20" s="5">
        <f>E20+F20+G20</f>
        <v>82040</v>
      </c>
      <c r="I20" s="5">
        <f>H20*13%</f>
        <v>10665.2</v>
      </c>
      <c r="J20" s="5">
        <f>H20-I20</f>
        <v>71374.8</v>
      </c>
    </row>
    <row r="21" spans="1:10" x14ac:dyDescent="0.2">
      <c r="A21" s="9">
        <v>6</v>
      </c>
      <c r="B21" s="1" t="s">
        <v>20</v>
      </c>
      <c r="C21" s="1" t="s">
        <v>21</v>
      </c>
      <c r="D21" s="1" t="s">
        <v>22</v>
      </c>
      <c r="E21" s="5">
        <v>27890</v>
      </c>
      <c r="F21" s="5">
        <v>27500</v>
      </c>
      <c r="G21" s="5">
        <v>26680</v>
      </c>
      <c r="H21" s="5">
        <f>E21+F21+G21</f>
        <v>82070</v>
      </c>
      <c r="I21" s="5">
        <f>H21*13%</f>
        <v>10669.1</v>
      </c>
      <c r="J21" s="5">
        <f>H21-I21</f>
        <v>71400.899999999994</v>
      </c>
    </row>
    <row r="22" spans="1:10" x14ac:dyDescent="0.2">
      <c r="A22" s="9">
        <v>7</v>
      </c>
      <c r="B22" s="1" t="s">
        <v>3</v>
      </c>
      <c r="C22" s="1" t="s">
        <v>12</v>
      </c>
      <c r="D22" s="1" t="s">
        <v>13</v>
      </c>
      <c r="E22" s="5">
        <v>27350</v>
      </c>
      <c r="F22" s="5">
        <v>28100</v>
      </c>
      <c r="G22" s="5">
        <v>29800</v>
      </c>
      <c r="H22" s="5">
        <f>E22+F22+G22</f>
        <v>85250</v>
      </c>
      <c r="I22" s="5">
        <f>H22*13%</f>
        <v>11082.5</v>
      </c>
      <c r="J22" s="5">
        <f>H22-I22</f>
        <v>74167.5</v>
      </c>
    </row>
    <row r="23" spans="1:10" x14ac:dyDescent="0.2">
      <c r="A23" s="9">
        <v>8</v>
      </c>
      <c r="B23" s="1" t="s">
        <v>9</v>
      </c>
      <c r="C23" s="1" t="s">
        <v>10</v>
      </c>
      <c r="D23" s="1" t="s">
        <v>19</v>
      </c>
      <c r="E23" s="5">
        <v>27260</v>
      </c>
      <c r="F23" s="5">
        <v>29100</v>
      </c>
      <c r="G23" s="5">
        <v>27690</v>
      </c>
      <c r="H23" s="5">
        <f>E23+F23+G23</f>
        <v>84050</v>
      </c>
      <c r="I23" s="5">
        <f>H23*13%</f>
        <v>10926.5</v>
      </c>
      <c r="J23" s="5">
        <f>H23-I23</f>
        <v>73123.5</v>
      </c>
    </row>
    <row r="24" spans="1:10" x14ac:dyDescent="0.2">
      <c r="A24" s="9">
        <v>9</v>
      </c>
      <c r="B24" s="1" t="s">
        <v>25</v>
      </c>
      <c r="C24" s="1" t="s">
        <v>26</v>
      </c>
      <c r="D24" s="1" t="s">
        <v>19</v>
      </c>
      <c r="E24" s="5">
        <v>26290</v>
      </c>
      <c r="F24" s="5">
        <v>26270</v>
      </c>
      <c r="G24" s="5">
        <v>27900</v>
      </c>
      <c r="H24" s="5">
        <f>E24+F24+G24</f>
        <v>80460</v>
      </c>
      <c r="I24" s="5">
        <f>H24*13%</f>
        <v>10459.800000000001</v>
      </c>
      <c r="J24" s="5">
        <f>H24-I24</f>
        <v>70000.2</v>
      </c>
    </row>
    <row r="25" spans="1:10" x14ac:dyDescent="0.2">
      <c r="A25" s="9">
        <v>10</v>
      </c>
      <c r="B25" s="1" t="s">
        <v>9</v>
      </c>
      <c r="C25" s="1" t="s">
        <v>10</v>
      </c>
      <c r="D25" s="1" t="s">
        <v>11</v>
      </c>
      <c r="E25" s="5">
        <v>26250</v>
      </c>
      <c r="F25" s="5">
        <v>26500</v>
      </c>
      <c r="G25" s="5">
        <v>27560</v>
      </c>
      <c r="H25" s="5">
        <f>E25+F25+G25</f>
        <v>80310</v>
      </c>
      <c r="I25" s="5">
        <f>H25*13%</f>
        <v>10440.300000000001</v>
      </c>
      <c r="J25" s="5">
        <f>H25-I25</f>
        <v>69869.7</v>
      </c>
    </row>
    <row r="26" spans="1:10" x14ac:dyDescent="0.2">
      <c r="A26" s="6"/>
      <c r="B26" s="6"/>
      <c r="C26" s="6"/>
      <c r="D26" s="7" t="s">
        <v>34</v>
      </c>
      <c r="E26" s="8">
        <f>SUM(E16:E25)</f>
        <v>279890</v>
      </c>
      <c r="F26" s="8">
        <f>SUM(F16:F25)</f>
        <v>277360</v>
      </c>
      <c r="G26" s="8">
        <f>SUM(G16:G25)</f>
        <v>280750</v>
      </c>
      <c r="H26" s="8">
        <f>SUM(H16:H25)</f>
        <v>838000</v>
      </c>
      <c r="I26" s="8">
        <f>SUM(I16:I25)</f>
        <v>108940.00000000001</v>
      </c>
      <c r="J26" s="8">
        <f>SUM(J16:J25)</f>
        <v>729059.99999999988</v>
      </c>
    </row>
    <row r="29" spans="1:10" ht="48" x14ac:dyDescent="0.2">
      <c r="A29" s="3" t="s">
        <v>33</v>
      </c>
      <c r="B29" s="4" t="s">
        <v>30</v>
      </c>
      <c r="C29" s="4" t="s">
        <v>31</v>
      </c>
      <c r="D29" s="4" t="s">
        <v>32</v>
      </c>
      <c r="E29" s="2" t="s">
        <v>27</v>
      </c>
      <c r="F29" s="2" t="s">
        <v>28</v>
      </c>
      <c r="G29" s="2" t="s">
        <v>29</v>
      </c>
      <c r="H29" s="3" t="s">
        <v>0</v>
      </c>
      <c r="I29" s="3" t="s">
        <v>1</v>
      </c>
      <c r="J29" s="12" t="s">
        <v>2</v>
      </c>
    </row>
    <row r="30" spans="1:10" x14ac:dyDescent="0.2">
      <c r="A30" s="9">
        <v>1</v>
      </c>
      <c r="B30" s="1" t="s">
        <v>9</v>
      </c>
      <c r="C30" s="1" t="s">
        <v>10</v>
      </c>
      <c r="D30" s="1" t="s">
        <v>11</v>
      </c>
      <c r="E30" s="5">
        <v>26250</v>
      </c>
      <c r="F30" s="5">
        <v>26500</v>
      </c>
      <c r="G30" s="5">
        <v>27560</v>
      </c>
      <c r="H30" s="5">
        <f>E30+F30+G30</f>
        <v>80310</v>
      </c>
      <c r="I30" s="5">
        <f>H30*13%</f>
        <v>10440.300000000001</v>
      </c>
      <c r="J30" s="5">
        <f>H30-I30</f>
        <v>69869.7</v>
      </c>
    </row>
    <row r="31" spans="1:10" x14ac:dyDescent="0.2">
      <c r="A31" s="9">
        <v>2</v>
      </c>
      <c r="B31" s="1" t="s">
        <v>25</v>
      </c>
      <c r="C31" s="1" t="s">
        <v>26</v>
      </c>
      <c r="D31" s="1" t="s">
        <v>19</v>
      </c>
      <c r="E31" s="5">
        <v>26290</v>
      </c>
      <c r="F31" s="5">
        <v>26270</v>
      </c>
      <c r="G31" s="5">
        <v>27900</v>
      </c>
      <c r="H31" s="5">
        <f>E31+F31+G31</f>
        <v>80460</v>
      </c>
      <c r="I31" s="5">
        <f>H31*13%</f>
        <v>10459.800000000001</v>
      </c>
      <c r="J31" s="5">
        <f>H31-I31</f>
        <v>70000.2</v>
      </c>
    </row>
    <row r="32" spans="1:10" x14ac:dyDescent="0.2">
      <c r="A32" s="9">
        <v>3</v>
      </c>
      <c r="B32" s="1" t="s">
        <v>3</v>
      </c>
      <c r="C32" s="1" t="s">
        <v>4</v>
      </c>
      <c r="D32" s="1" t="s">
        <v>5</v>
      </c>
      <c r="E32" s="5">
        <v>28120</v>
      </c>
      <c r="F32" s="5">
        <v>27650</v>
      </c>
      <c r="G32" s="5">
        <v>26270</v>
      </c>
      <c r="H32" s="5">
        <f>E32+F32+G32</f>
        <v>82040</v>
      </c>
      <c r="I32" s="5">
        <f>H32*13%</f>
        <v>10665.2</v>
      </c>
      <c r="J32" s="5">
        <f>H32-I32</f>
        <v>71374.8</v>
      </c>
    </row>
    <row r="33" spans="1:10" x14ac:dyDescent="0.2">
      <c r="A33" s="9">
        <v>4</v>
      </c>
      <c r="B33" s="1" t="s">
        <v>20</v>
      </c>
      <c r="C33" s="1" t="s">
        <v>21</v>
      </c>
      <c r="D33" s="1" t="s">
        <v>22</v>
      </c>
      <c r="E33" s="5">
        <v>27890</v>
      </c>
      <c r="F33" s="5">
        <v>27500</v>
      </c>
      <c r="G33" s="5">
        <v>26680</v>
      </c>
      <c r="H33" s="5">
        <f>E33+F33+G33</f>
        <v>82070</v>
      </c>
      <c r="I33" s="5">
        <f>H33*13%</f>
        <v>10669.1</v>
      </c>
      <c r="J33" s="5">
        <f>H33-I33</f>
        <v>71400.899999999994</v>
      </c>
    </row>
    <row r="34" spans="1:10" x14ac:dyDescent="0.2">
      <c r="A34" s="9">
        <v>5</v>
      </c>
      <c r="B34" s="1" t="s">
        <v>9</v>
      </c>
      <c r="C34" s="1" t="s">
        <v>10</v>
      </c>
      <c r="D34" s="1" t="s">
        <v>19</v>
      </c>
      <c r="E34" s="5">
        <v>27260</v>
      </c>
      <c r="F34" s="5">
        <v>29100</v>
      </c>
      <c r="G34" s="5">
        <v>27690</v>
      </c>
      <c r="H34" s="5">
        <f>E34+F34+G34</f>
        <v>84050</v>
      </c>
      <c r="I34" s="5">
        <f>H34*13%</f>
        <v>10926.5</v>
      </c>
      <c r="J34" s="5">
        <f>H34-I34</f>
        <v>73123.5</v>
      </c>
    </row>
    <row r="35" spans="1:10" x14ac:dyDescent="0.2">
      <c r="A35" s="9">
        <v>6</v>
      </c>
      <c r="B35" s="1" t="s">
        <v>6</v>
      </c>
      <c r="C35" s="1" t="s">
        <v>7</v>
      </c>
      <c r="D35" s="1" t="s">
        <v>8</v>
      </c>
      <c r="E35" s="5">
        <v>29560</v>
      </c>
      <c r="F35" s="5">
        <v>26560</v>
      </c>
      <c r="G35" s="5">
        <v>28500</v>
      </c>
      <c r="H35" s="5">
        <f>E35+F35+G35</f>
        <v>84620</v>
      </c>
      <c r="I35" s="5">
        <f>H35*13%</f>
        <v>11000.6</v>
      </c>
      <c r="J35" s="5">
        <f>H35-I35</f>
        <v>73619.399999999994</v>
      </c>
    </row>
    <row r="36" spans="1:10" x14ac:dyDescent="0.2">
      <c r="A36" s="9">
        <v>7</v>
      </c>
      <c r="B36" s="1" t="s">
        <v>16</v>
      </c>
      <c r="C36" s="1" t="s">
        <v>17</v>
      </c>
      <c r="D36" s="1" t="s">
        <v>18</v>
      </c>
      <c r="E36" s="5">
        <v>28320</v>
      </c>
      <c r="F36" s="5">
        <v>27680</v>
      </c>
      <c r="G36" s="5">
        <v>29100</v>
      </c>
      <c r="H36" s="5">
        <f>E36+F36+G36</f>
        <v>85100</v>
      </c>
      <c r="I36" s="5">
        <f>H36*13%</f>
        <v>11063</v>
      </c>
      <c r="J36" s="5">
        <f>H36-I36</f>
        <v>74037</v>
      </c>
    </row>
    <row r="37" spans="1:10" x14ac:dyDescent="0.2">
      <c r="A37" s="9">
        <v>8</v>
      </c>
      <c r="B37" s="1" t="s">
        <v>3</v>
      </c>
      <c r="C37" s="1" t="s">
        <v>12</v>
      </c>
      <c r="D37" s="1" t="s">
        <v>13</v>
      </c>
      <c r="E37" s="5">
        <v>27350</v>
      </c>
      <c r="F37" s="5">
        <v>28100</v>
      </c>
      <c r="G37" s="5">
        <v>29800</v>
      </c>
      <c r="H37" s="5">
        <f>E37+F37+G37</f>
        <v>85250</v>
      </c>
      <c r="I37" s="5">
        <f>H37*13%</f>
        <v>11082.5</v>
      </c>
      <c r="J37" s="5">
        <f>H37-I37</f>
        <v>74167.5</v>
      </c>
    </row>
    <row r="38" spans="1:10" x14ac:dyDescent="0.2">
      <c r="A38" s="9">
        <v>9</v>
      </c>
      <c r="B38" s="1" t="s">
        <v>9</v>
      </c>
      <c r="C38" s="1" t="s">
        <v>23</v>
      </c>
      <c r="D38" s="1" t="s">
        <v>24</v>
      </c>
      <c r="E38" s="5">
        <v>29540</v>
      </c>
      <c r="F38" s="5">
        <v>28650</v>
      </c>
      <c r="G38" s="5">
        <v>28450</v>
      </c>
      <c r="H38" s="5">
        <f>E38+F38+G38</f>
        <v>86640</v>
      </c>
      <c r="I38" s="5">
        <f>H38*13%</f>
        <v>11263.2</v>
      </c>
      <c r="J38" s="5">
        <f>H38-I38</f>
        <v>75376.800000000003</v>
      </c>
    </row>
    <row r="39" spans="1:10" x14ac:dyDescent="0.2">
      <c r="A39" s="9">
        <v>10</v>
      </c>
      <c r="B39" s="1" t="s">
        <v>9</v>
      </c>
      <c r="C39" s="1" t="s">
        <v>14</v>
      </c>
      <c r="D39" s="1" t="s">
        <v>15</v>
      </c>
      <c r="E39" s="5">
        <v>29310</v>
      </c>
      <c r="F39" s="5">
        <v>29350</v>
      </c>
      <c r="G39" s="5">
        <v>28800</v>
      </c>
      <c r="H39" s="5">
        <f>E39+F39+G39</f>
        <v>87460</v>
      </c>
      <c r="I39" s="5">
        <f>H39*13%</f>
        <v>11369.800000000001</v>
      </c>
      <c r="J39" s="5">
        <f>H39-I39</f>
        <v>76090.2</v>
      </c>
    </row>
    <row r="40" spans="1:10" x14ac:dyDescent="0.2">
      <c r="A40" s="6"/>
      <c r="B40" s="6"/>
      <c r="C40" s="6"/>
      <c r="D40" s="7" t="s">
        <v>34</v>
      </c>
      <c r="E40" s="8">
        <f>SUM(E30:E39)</f>
        <v>279890</v>
      </c>
      <c r="F40" s="8">
        <f>SUM(F30:F39)</f>
        <v>277360</v>
      </c>
      <c r="G40" s="8">
        <f>SUM(G30:G39)</f>
        <v>280750</v>
      </c>
      <c r="H40" s="8">
        <f>SUM(H30:H39)</f>
        <v>838000</v>
      </c>
      <c r="I40" s="8">
        <f>SUM(I30:I39)</f>
        <v>108940</v>
      </c>
      <c r="J40" s="8">
        <f>SUM(J30:J39)</f>
        <v>729060</v>
      </c>
    </row>
  </sheetData>
  <sortState xmlns:xlrd2="http://schemas.microsoft.com/office/spreadsheetml/2017/richdata2" ref="B2:J11">
    <sortCondition ref="B2:B11"/>
    <sortCondition ref="C2:C11"/>
    <sortCondition ref="D2:D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Сортировка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2025-12-06T19:56:54Z</dcterms:created>
  <dcterms:modified xsi:type="dcterms:W3CDTF">2025-12-06T20:15:22Z</dcterms:modified>
</cp:coreProperties>
</file>