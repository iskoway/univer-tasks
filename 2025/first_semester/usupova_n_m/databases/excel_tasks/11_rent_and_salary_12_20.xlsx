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A24F7E2B-4E7B-E74A-B7DD-F9DEB48324E4}" xr6:coauthVersionLast="47" xr6:coauthVersionMax="47" xr10:uidLastSave="{00000000-0000-0000-0000-000000000000}"/>
  <bookViews>
    <workbookView xWindow="0" yWindow="860" windowWidth="36000" windowHeight="22520" xr2:uid="{4DE8E162-AC83-E148-8A46-263991571FFA}"/>
  </bookViews>
  <sheets>
    <sheet name="Распределение фонда зарплат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D17" i="1"/>
  <c r="F16" i="1"/>
  <c r="F15" i="1"/>
  <c r="F14" i="1"/>
  <c r="F13" i="1"/>
  <c r="F12" i="1"/>
  <c r="F11" i="1"/>
  <c r="F10" i="1"/>
  <c r="F9" i="1"/>
  <c r="F8" i="1"/>
  <c r="F7" i="1"/>
  <c r="F17" i="1" s="1"/>
  <c r="G14" i="1" l="1"/>
  <c r="H14" i="1" s="1"/>
  <c r="G10" i="1"/>
  <c r="H10" i="1" s="1"/>
  <c r="G9" i="1"/>
  <c r="H9" i="1" s="1"/>
  <c r="G8" i="1"/>
  <c r="G11" i="1"/>
  <c r="H11" i="1" s="1"/>
  <c r="G13" i="1"/>
  <c r="H13" i="1" s="1"/>
  <c r="G16" i="1"/>
  <c r="H16" i="1" s="1"/>
  <c r="G15" i="1"/>
  <c r="H15" i="1" s="1"/>
  <c r="G12" i="1"/>
  <c r="H12" i="1" s="1"/>
  <c r="G7" i="1"/>
  <c r="H8" i="1"/>
  <c r="G17" i="1" l="1"/>
  <c r="H7" i="1"/>
  <c r="H17" i="1" s="1"/>
</calcChain>
</file>

<file path=xl/sharedStrings.xml><?xml version="1.0" encoding="utf-8"?>
<sst xmlns="http://schemas.openxmlformats.org/spreadsheetml/2006/main" count="22" uniqueCount="22">
  <si>
    <r>
      <t xml:space="preserve">ДОХОД СОТРУДНИКОВ ЗА </t>
    </r>
    <r>
      <rPr>
        <b/>
        <sz val="12"/>
        <color theme="1"/>
        <rFont val="Aptos Narrow"/>
        <family val="2"/>
        <scheme val="minor"/>
      </rPr>
      <t>ОКТЯБРЬ</t>
    </r>
  </si>
  <si>
    <t>Количество рабочих дней</t>
  </si>
  <si>
    <t>Фонд заработной платы</t>
  </si>
  <si>
    <t>Ф.И.О работника</t>
  </si>
  <si>
    <t>Отработано дней</t>
  </si>
  <si>
    <t>Разряд</t>
  </si>
  <si>
    <t>КТУ</t>
  </si>
  <si>
    <t>Оклад</t>
  </si>
  <si>
    <t>Начислено</t>
  </si>
  <si>
    <t>Надбавки</t>
  </si>
  <si>
    <t>Новая зарплата</t>
  </si>
  <si>
    <t>Антонов Р.И.</t>
  </si>
  <si>
    <t>Борисов И.П.</t>
  </si>
  <si>
    <t>Иванов В.А.</t>
  </si>
  <si>
    <t>Крючков Н.Р.</t>
  </si>
  <si>
    <t>Новиков Л.Д.</t>
  </si>
  <si>
    <t>Огарев Н.И.</t>
  </si>
  <si>
    <t>Петров К.О.</t>
  </si>
  <si>
    <t>Сидоров И.Н.</t>
  </si>
  <si>
    <t>Тимофеев Н.Н.</t>
  </si>
  <si>
    <t>Федоров А.Н.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</si>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</sst>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сом&quot;_-;\-* #,##0.00\ &quot;сом&quot;_-;_-* &quot;-&quot;??\ &quot;сом&quot;_-;_-@_-"/>
  </numFmts>
  <fonts count="5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4" fontId="3" fillId="0" borderId="2" xfId="1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4" fontId="2" fillId="0" borderId="1" xfId="1" applyFont="1" applyBorder="1"/>
    <xf numFmtId="44" fontId="2" fillId="0" borderId="1" xfId="0" applyNumberFormat="1" applyFont="1" applyBorder="1"/>
    <xf numFmtId="0" fontId="4" fillId="0" borderId="1" xfId="0" applyFont="1" applyBorder="1" applyAlignment="1">
      <alignment horizontal="center"/>
    </xf>
    <xf numFmtId="44" fontId="4" fillId="0" borderId="1" xfId="0" applyNumberFormat="1" applyFont="1" applyBorder="1"/>
    <xf numFmtId="0" fontId="4" fillId="0" borderId="1" xfId="0" applyFont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4F24-9536-C84C-A414-3996D0B53F54}">
  <dimension ref="A1:H17"/>
  <sheetViews>
    <sheetView tabSelected="1" workbookViewId="0">
      <selection activeCell="B22" sqref="B22"/>
    </sheetView>
  </sheetViews>
  <sheetFormatPr baseColWidth="10" defaultRowHeight="16" x14ac:dyDescent="0.2"/>
  <cols>
    <col min="1" max="1" width="13.5" bestFit="1" customWidth="1"/>
    <col min="2" max="2" width="9.83203125" customWidth="1"/>
    <col min="3" max="3" width="15.1640625" bestFit="1" customWidth="1"/>
    <col min="5" max="8" width="15" bestFit="1" customWidth="1"/>
  </cols>
  <sheetData>
    <row r="1" spans="1:8" x14ac:dyDescent="0.2">
      <c r="A1" s="1" t="s">
        <v>0</v>
      </c>
      <c r="B1" s="1"/>
      <c r="C1" s="1"/>
      <c r="D1" s="1"/>
      <c r="E1" s="1"/>
      <c r="F1" s="1"/>
      <c r="G1" s="2"/>
      <c r="H1" s="2"/>
    </row>
    <row r="2" spans="1:8" x14ac:dyDescent="0.2">
      <c r="A2" s="2"/>
      <c r="B2" s="2"/>
      <c r="C2" s="2"/>
      <c r="D2" s="2"/>
      <c r="E2" s="2"/>
      <c r="F2" s="2"/>
      <c r="G2" s="2"/>
      <c r="H2" s="2"/>
    </row>
    <row r="3" spans="1:8" x14ac:dyDescent="0.2">
      <c r="A3" s="3" t="s">
        <v>1</v>
      </c>
      <c r="B3" s="3"/>
      <c r="C3" s="4">
        <v>23</v>
      </c>
      <c r="D3" s="2"/>
      <c r="E3" s="2"/>
      <c r="F3" s="2"/>
      <c r="G3" s="2"/>
      <c r="H3" s="2"/>
    </row>
    <row r="4" spans="1:8" x14ac:dyDescent="0.2">
      <c r="A4" s="2"/>
      <c r="B4" s="2"/>
      <c r="C4" s="2"/>
      <c r="D4" s="2"/>
      <c r="E4" s="2"/>
      <c r="F4" s="2"/>
      <c r="G4" s="2"/>
      <c r="H4" s="2"/>
    </row>
    <row r="5" spans="1:8" x14ac:dyDescent="0.2">
      <c r="A5" s="5" t="s">
        <v>2</v>
      </c>
      <c r="B5" s="5"/>
      <c r="C5" s="6">
        <v>300000</v>
      </c>
      <c r="D5" s="2"/>
      <c r="E5" s="2"/>
      <c r="F5" s="2"/>
      <c r="G5" s="2"/>
      <c r="H5" s="2"/>
    </row>
    <row r="6" spans="1:8" ht="69" x14ac:dyDescent="0.2">
      <c r="A6" s="7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</row>
    <row r="7" spans="1:8" x14ac:dyDescent="0.2">
      <c r="A7" s="9" t="s">
        <v>11</v>
      </c>
      <c r="B7" s="10">
        <v>20</v>
      </c>
      <c r="C7" s="10">
        <v>5</v>
      </c>
      <c r="D7" s="10">
        <v>90</v>
      </c>
      <c r="E7" s="11">
        <v>30000</v>
      </c>
      <c r="F7" s="12">
        <f>E7*B7/$C$3</f>
        <v>26086.956521739132</v>
      </c>
      <c r="G7" s="12">
        <f>($C$5-$F$17)/$D$17*D7</f>
        <v>14795.059900390361</v>
      </c>
      <c r="H7" s="12">
        <f>F7+G7</f>
        <v>40882.016422129491</v>
      </c>
    </row>
    <row r="8" spans="1:8" x14ac:dyDescent="0.2">
      <c r="A8" s="9" t="s">
        <v>12</v>
      </c>
      <c r="B8" s="10">
        <v>22</v>
      </c>
      <c r="C8" s="10">
        <v>5</v>
      </c>
      <c r="D8" s="10">
        <v>100</v>
      </c>
      <c r="E8" s="11">
        <v>30000</v>
      </c>
      <c r="F8" s="12">
        <f t="shared" ref="F8:F16" si="0">E8*B8/$C$3</f>
        <v>28695.652173913044</v>
      </c>
      <c r="G8" s="12">
        <f t="shared" ref="G8:G16" si="1">($C$5-$F$17)/$D$17*D8</f>
        <v>16438.955444878178</v>
      </c>
      <c r="H8" s="12">
        <f t="shared" ref="H8:H16" si="2">F8+G8</f>
        <v>45134.607618791226</v>
      </c>
    </row>
    <row r="9" spans="1:8" x14ac:dyDescent="0.2">
      <c r="A9" s="9" t="s">
        <v>13</v>
      </c>
      <c r="B9" s="10">
        <v>18</v>
      </c>
      <c r="C9" s="10">
        <v>4</v>
      </c>
      <c r="D9" s="10">
        <v>70</v>
      </c>
      <c r="E9" s="11">
        <v>25000</v>
      </c>
      <c r="F9" s="12">
        <f t="shared" si="0"/>
        <v>19565.217391304348</v>
      </c>
      <c r="G9" s="12">
        <f t="shared" si="1"/>
        <v>11507.268811414724</v>
      </c>
      <c r="H9" s="12">
        <f t="shared" si="2"/>
        <v>31072.486202719072</v>
      </c>
    </row>
    <row r="10" spans="1:8" x14ac:dyDescent="0.2">
      <c r="A10" s="9" t="s">
        <v>14</v>
      </c>
      <c r="B10" s="10">
        <v>20</v>
      </c>
      <c r="C10" s="10">
        <v>4</v>
      </c>
      <c r="D10" s="10">
        <v>80</v>
      </c>
      <c r="E10" s="11">
        <v>25000</v>
      </c>
      <c r="F10" s="12">
        <f t="shared" si="0"/>
        <v>21739.130434782608</v>
      </c>
      <c r="G10" s="12">
        <f t="shared" si="1"/>
        <v>13151.164355902543</v>
      </c>
      <c r="H10" s="12">
        <f t="shared" si="2"/>
        <v>34890.294790685148</v>
      </c>
    </row>
    <row r="11" spans="1:8" x14ac:dyDescent="0.2">
      <c r="A11" s="9" t="s">
        <v>15</v>
      </c>
      <c r="B11" s="10">
        <v>19</v>
      </c>
      <c r="C11" s="10">
        <v>3</v>
      </c>
      <c r="D11" s="10">
        <v>60</v>
      </c>
      <c r="E11" s="11">
        <v>22500</v>
      </c>
      <c r="F11" s="12">
        <f t="shared" si="0"/>
        <v>18586.956521739132</v>
      </c>
      <c r="G11" s="12">
        <f t="shared" si="1"/>
        <v>9863.3732669269066</v>
      </c>
      <c r="H11" s="12">
        <f t="shared" si="2"/>
        <v>28450.329788666037</v>
      </c>
    </row>
    <row r="12" spans="1:8" x14ac:dyDescent="0.2">
      <c r="A12" s="9" t="s">
        <v>16</v>
      </c>
      <c r="B12" s="10">
        <v>12</v>
      </c>
      <c r="C12" s="10">
        <v>3</v>
      </c>
      <c r="D12" s="10">
        <v>36</v>
      </c>
      <c r="E12" s="11">
        <v>22500</v>
      </c>
      <c r="F12" s="12">
        <f t="shared" si="0"/>
        <v>11739.130434782608</v>
      </c>
      <c r="G12" s="12">
        <f t="shared" si="1"/>
        <v>5918.0239601561443</v>
      </c>
      <c r="H12" s="12">
        <f t="shared" si="2"/>
        <v>17657.154394938752</v>
      </c>
    </row>
    <row r="13" spans="1:8" x14ac:dyDescent="0.2">
      <c r="A13" s="9" t="s">
        <v>17</v>
      </c>
      <c r="B13" s="10">
        <v>10</v>
      </c>
      <c r="C13" s="10">
        <v>2</v>
      </c>
      <c r="D13" s="10">
        <v>30</v>
      </c>
      <c r="E13" s="11">
        <v>20000</v>
      </c>
      <c r="F13" s="12">
        <f t="shared" si="0"/>
        <v>8695.652173913044</v>
      </c>
      <c r="G13" s="12">
        <f t="shared" si="1"/>
        <v>4931.6866334634533</v>
      </c>
      <c r="H13" s="12">
        <f t="shared" si="2"/>
        <v>13627.338807376498</v>
      </c>
    </row>
    <row r="14" spans="1:8" x14ac:dyDescent="0.2">
      <c r="A14" s="9" t="s">
        <v>18</v>
      </c>
      <c r="B14" s="10">
        <v>20</v>
      </c>
      <c r="C14" s="10">
        <v>3</v>
      </c>
      <c r="D14" s="10">
        <v>60</v>
      </c>
      <c r="E14" s="11">
        <v>22500</v>
      </c>
      <c r="F14" s="12">
        <f t="shared" si="0"/>
        <v>19565.217391304348</v>
      </c>
      <c r="G14" s="12">
        <f t="shared" si="1"/>
        <v>9863.3732669269066</v>
      </c>
      <c r="H14" s="12">
        <f t="shared" si="2"/>
        <v>29428.590658231253</v>
      </c>
    </row>
    <row r="15" spans="1:8" x14ac:dyDescent="0.2">
      <c r="A15" s="9" t="s">
        <v>19</v>
      </c>
      <c r="B15" s="10">
        <v>20</v>
      </c>
      <c r="C15" s="10">
        <v>2</v>
      </c>
      <c r="D15" s="10">
        <v>40</v>
      </c>
      <c r="E15" s="11">
        <v>20000</v>
      </c>
      <c r="F15" s="12">
        <f t="shared" si="0"/>
        <v>17391.304347826088</v>
      </c>
      <c r="G15" s="12">
        <f t="shared" si="1"/>
        <v>6575.5821779512717</v>
      </c>
      <c r="H15" s="12">
        <f t="shared" si="2"/>
        <v>23966.886525777358</v>
      </c>
    </row>
    <row r="16" spans="1:8" x14ac:dyDescent="0.2">
      <c r="A16" s="9" t="s">
        <v>20</v>
      </c>
      <c r="B16" s="10">
        <v>20</v>
      </c>
      <c r="C16" s="10">
        <v>4</v>
      </c>
      <c r="D16" s="10">
        <v>80</v>
      </c>
      <c r="E16" s="11">
        <v>25000</v>
      </c>
      <c r="F16" s="12">
        <f t="shared" si="0"/>
        <v>21739.130434782608</v>
      </c>
      <c r="G16" s="12">
        <f t="shared" si="1"/>
        <v>13151.164355902543</v>
      </c>
      <c r="H16" s="12">
        <f t="shared" si="2"/>
        <v>34890.294790685148</v>
      </c>
    </row>
    <row r="17" spans="1:8" x14ac:dyDescent="0.2">
      <c r="A17" s="15" t="s">
        <v>21</v>
      </c>
      <c r="B17" s="9"/>
      <c r="C17" s="9"/>
      <c r="D17" s="13">
        <f>SUM(D7:D16)</f>
        <v>646</v>
      </c>
      <c r="E17" s="14">
        <f>SUM(E7:E16)</f>
        <v>242500</v>
      </c>
      <c r="F17" s="14">
        <f>SUM(F7:F16)</f>
        <v>193804.34782608697</v>
      </c>
      <c r="G17" s="14">
        <f>SUM(G7:G16)</f>
        <v>106195.65217391304</v>
      </c>
      <c r="H17" s="14">
        <f>SUM(H7:H16)</f>
        <v>300000</v>
      </c>
    </row>
  </sheetData>
  <mergeCells count="3">
    <mergeCell ref="A1:F1"/>
    <mergeCell ref="A3:B3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Распределение фонда зарплат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2025-12-07T20:41:09Z</dcterms:created>
  <dcterms:modified xsi:type="dcterms:W3CDTF">2025-12-07T20:47:01Z</dcterms:modified>
</cp:coreProperties>
</file>