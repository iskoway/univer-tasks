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kenderkanimetov/Downloads/"/>
    </mc:Choice>
  </mc:AlternateContent>
  <xr:revisionPtr revIDLastSave="0" documentId="13_ncr:1_{65C7CEDB-C0F3-1E4E-90BC-1061E6C2162C}" xr6:coauthVersionLast="47" xr6:coauthVersionMax="47" xr10:uidLastSave="{00000000-0000-0000-0000-000000000000}"/>
  <bookViews>
    <workbookView xWindow="0" yWindow="860" windowWidth="36000" windowHeight="22520" xr2:uid="{1F04E35C-55B3-4C46-8FEE-0205E4557904}"/>
  </bookViews>
  <sheets>
    <sheet name="Ведомость переоценки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E6" i="1"/>
  <c r="E7" i="1"/>
  <c r="E8" i="1"/>
  <c r="G8" i="1" s="1"/>
  <c r="E9" i="1"/>
  <c r="G9" i="1" s="1"/>
  <c r="E10" i="1"/>
  <c r="E11" i="1"/>
  <c r="F11" i="1" s="1"/>
  <c r="E12" i="1"/>
  <c r="F12" i="1" s="1"/>
  <c r="E5" i="1"/>
  <c r="E13" i="1" s="1"/>
  <c r="D13" i="1"/>
  <c r="C13" i="1"/>
  <c r="B13" i="1"/>
  <c r="G6" i="1"/>
  <c r="G7" i="1"/>
  <c r="G10" i="1"/>
  <c r="F6" i="1"/>
  <c r="F7" i="1"/>
  <c r="F8" i="1"/>
  <c r="F9" i="1"/>
  <c r="F10" i="1"/>
  <c r="D6" i="1"/>
  <c r="D7" i="1"/>
  <c r="D8" i="1"/>
  <c r="D9" i="1"/>
  <c r="D10" i="1"/>
  <c r="D11" i="1"/>
  <c r="D12" i="1"/>
  <c r="D5" i="1"/>
  <c r="G12" i="1" l="1"/>
  <c r="G11" i="1"/>
  <c r="G5" i="1"/>
  <c r="G13" i="1" s="1"/>
  <c r="F13" i="1"/>
</calcChain>
</file>

<file path=xl/sharedStrings.xml><?xml version="1.0" encoding="utf-8"?>
<sst xmlns="http://schemas.openxmlformats.org/spreadsheetml/2006/main" count="17" uniqueCount="17">
  <si>
    <t xml:space="preserve"> Наименование обьекта</t>
  </si>
  <si>
    <t>Отдел менеджмента и маркентинга</t>
  </si>
  <si>
    <t>Отдел транспортировок</t>
  </si>
  <si>
    <t>Сборочный цех</t>
  </si>
  <si>
    <t>Отдельный цех</t>
  </si>
  <si>
    <t>Склад № 3</t>
  </si>
  <si>
    <t>Склад № 4</t>
  </si>
  <si>
    <t>Итого</t>
  </si>
  <si>
    <t>Балансовая стоимость (БС), млн.руб</t>
  </si>
  <si>
    <t>Износ обьекта (ИО), млн.руб</t>
  </si>
  <si>
    <t>Остаточная стоимость (ОС), млн.руб</t>
  </si>
  <si>
    <t>k</t>
  </si>
  <si>
    <t>Восстановительная полная стоимость (ВПС), млн.руб</t>
  </si>
  <si>
    <t>Восстановительная остаточная стоимость (ВОС), млн.руб</t>
  </si>
  <si>
    <t>Склад № 1</t>
  </si>
  <si>
    <t>Склад № 2</t>
  </si>
  <si>
    <t>ВЕДОМОСТЬ ПЕРЕОЦЕНКИ ОСНОВНЫХ СРЕДСТВ ПРОИЗВОДСТВА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</si>
</sst>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charset val="204"/>
      <scheme val="minor"/>
    </font>
    <font>
      <b/>
      <i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b/>
      <i/>
      <sz val="11"/>
      <color theme="1"/>
      <name val="Aptos Narrow"/>
      <scheme val="minor"/>
    </font>
    <font>
      <b/>
      <i/>
      <sz val="12"/>
      <color theme="1"/>
      <name val="Aptos Narrow (Основной текст)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2" fillId="0" borderId="2" xfId="0" applyFont="1" applyBorder="1"/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Оценка</a:t>
            </a:r>
            <a:r>
              <a:rPr lang="ru-RU" baseline="0"/>
              <a:t> основных средств производства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'Ведомость переоценки'!$B$4</c:f>
              <c:strCache>
                <c:ptCount val="1"/>
                <c:pt idx="0">
                  <c:v>Балансовая стоимость (БС), млн.руб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'Ведомость переоценки'!$A$7:$A$12</c:f>
              <c:strCache>
                <c:ptCount val="6"/>
                <c:pt idx="0">
                  <c:v>Сборочный цех</c:v>
                </c:pt>
                <c:pt idx="1">
                  <c:v>Отдельный цех</c:v>
                </c:pt>
                <c:pt idx="2">
                  <c:v>Склад № 1</c:v>
                </c:pt>
                <c:pt idx="3">
                  <c:v>Склад № 2</c:v>
                </c:pt>
                <c:pt idx="4">
                  <c:v>Склад № 3</c:v>
                </c:pt>
                <c:pt idx="5">
                  <c:v>Склад № 4</c:v>
                </c:pt>
              </c:strCache>
            </c:strRef>
          </c:cat>
          <c:val>
            <c:numRef>
              <c:f>'Ведомость переоценки'!$B$7:$B$12</c:f>
              <c:numCache>
                <c:formatCode>General</c:formatCode>
                <c:ptCount val="6"/>
                <c:pt idx="0">
                  <c:v>673</c:v>
                </c:pt>
                <c:pt idx="1">
                  <c:v>821.6</c:v>
                </c:pt>
                <c:pt idx="2">
                  <c:v>598.4</c:v>
                </c:pt>
                <c:pt idx="3">
                  <c:v>610</c:v>
                </c:pt>
                <c:pt idx="4">
                  <c:v>756.3</c:v>
                </c:pt>
                <c:pt idx="5">
                  <c:v>614.29999999999995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33-A743-A6B4-EA2190542438}"/>
            </c:ext>
          </c:extLst>
        </c:ser>
        <c:ser>
          <c:idx val="1"/>
          <c:order val="1"/>
          <c:tx>
            <c:strRef>
              <c:f>'Ведомость переоценки'!$C$4</c:f>
              <c:strCache>
                <c:ptCount val="1"/>
                <c:pt idx="0">
                  <c:v>Износ обьекта (ИО), млн.руб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'Ведомость переоценки'!$A$7:$A$12</c:f>
              <c:strCache>
                <c:ptCount val="6"/>
                <c:pt idx="0">
                  <c:v>Сборочный цех</c:v>
                </c:pt>
                <c:pt idx="1">
                  <c:v>Отдельный цех</c:v>
                </c:pt>
                <c:pt idx="2">
                  <c:v>Склад № 1</c:v>
                </c:pt>
                <c:pt idx="3">
                  <c:v>Склад № 2</c:v>
                </c:pt>
                <c:pt idx="4">
                  <c:v>Склад № 3</c:v>
                </c:pt>
                <c:pt idx="5">
                  <c:v>Склад № 4</c:v>
                </c:pt>
              </c:strCache>
            </c:strRef>
          </c:cat>
          <c:val>
            <c:numRef>
              <c:f>'Ведомость переоценки'!$C$7:$C$12</c:f>
              <c:numCache>
                <c:formatCode>General</c:formatCode>
                <c:ptCount val="6"/>
                <c:pt idx="0">
                  <c:v>198.9</c:v>
                </c:pt>
                <c:pt idx="1">
                  <c:v>401.2</c:v>
                </c:pt>
                <c:pt idx="2">
                  <c:v>131.5</c:v>
                </c:pt>
                <c:pt idx="3">
                  <c:v>345.6</c:v>
                </c:pt>
                <c:pt idx="4">
                  <c:v>159.6</c:v>
                </c:pt>
                <c:pt idx="5">
                  <c:v>148.69999999999999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33-A743-A6B4-EA2190542438}"/>
            </c:ext>
          </c:extLst>
        </c:ser>
        <c:ser>
          <c:idx val="2"/>
          <c:order val="2"/>
          <c:tx>
            <c:strRef>
              <c:f>'Ведомость переоценки'!$D$4</c:f>
              <c:strCache>
                <c:ptCount val="1"/>
                <c:pt idx="0">
                  <c:v>Остаточная стоимость (ОС), млн.руб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'Ведомость переоценки'!$A$7:$A$12</c:f>
              <c:strCache>
                <c:ptCount val="6"/>
                <c:pt idx="0">
                  <c:v>Сборочный цех</c:v>
                </c:pt>
                <c:pt idx="1">
                  <c:v>Отдельный цех</c:v>
                </c:pt>
                <c:pt idx="2">
                  <c:v>Склад № 1</c:v>
                </c:pt>
                <c:pt idx="3">
                  <c:v>Склад № 2</c:v>
                </c:pt>
                <c:pt idx="4">
                  <c:v>Склад № 3</c:v>
                </c:pt>
                <c:pt idx="5">
                  <c:v>Склад № 4</c:v>
                </c:pt>
              </c:strCache>
            </c:strRef>
          </c:cat>
          <c:val>
            <c:numRef>
              <c:f>'Ведомость переоценки'!$D$7:$D$12</c:f>
              <c:numCache>
                <c:formatCode>#,##0.00</c:formatCode>
                <c:ptCount val="6"/>
                <c:pt idx="0">
                  <c:v>474.1</c:v>
                </c:pt>
                <c:pt idx="1">
                  <c:v>420.40000000000003</c:v>
                </c:pt>
                <c:pt idx="2">
                  <c:v>466.9</c:v>
                </c:pt>
                <c:pt idx="3">
                  <c:v>264.39999999999998</c:v>
                </c:pt>
                <c:pt idx="4">
                  <c:v>596.69999999999993</c:v>
                </c:pt>
                <c:pt idx="5">
                  <c:v>465.59999999999997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33-A743-A6B4-EA21905424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226576"/>
        <c:axId val="156661680"/>
      </c:barChart>
      <c:catAx>
        <c:axId val="15722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G"/>
          </a:p>
        </c:txPr>
        <c:crossAx val="156661680"/>
        <c:crosses val="autoZero"/>
        <c:auto val="1"/>
        <c:lblAlgn val="ctr"/>
        <c:lblOffset val="100"/>
        <c:noMultiLvlLbl val="0"/>
      </c:catAx>
      <c:valAx>
        <c:axId val="15666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млн</a:t>
                </a:r>
                <a:r>
                  <a:rPr lang="en-US"/>
                  <a:t>.</a:t>
                </a:r>
                <a:r>
                  <a:rPr lang="ru-RU" baseline="0"/>
                  <a:t>руб</a:t>
                </a:r>
                <a:r>
                  <a:rPr lang="en-US" baseline="0"/>
                  <a:t>.</a:t>
                </a:r>
              </a:p>
            </c:rich>
          </c:tx>
          <c:layout>
            <c:manualLayout>
              <c:xMode val="edge"/>
              <c:yMode val="edge"/>
              <c:x val="9.4946811095469388E-3"/>
              <c:y val="0.384724465615855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G"/>
          </a:p>
        </c:txPr>
        <c:crossAx val="157226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2356996346035675E-2"/>
          <c:y val="0.91450148352972349"/>
          <c:w val="0.92631562872985951"/>
          <c:h val="7.55840308603327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805543</xdr:colOff>
      <xdr:row>15</xdr:row>
      <xdr:rowOff>120072</xdr:rowOff>
    </xdr:from>
    <xdr:to>
      <xdr:col>6</xdr:col>
      <xdr:colOff>880249</xdr:colOff>
      <xdr:row>34</xdr:row>
      <xdr:rowOff>110244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C012E19-7FFB-DF06-1BAA-5564994FBE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690FD-27DF-3D49-8FDE-2A58366B8F9F}">
  <dimension ref="A1:G13"/>
  <sheetViews>
    <sheetView tabSelected="1" zoomScaleNormal="110" workbookViewId="0">
      <selection activeCell="A6" sqref="A6"/>
    </sheetView>
  </sheetViews>
  <sheetFormatPr baseColWidth="10" defaultRowHeight="16" x14ac:dyDescent="0.2"/>
  <cols>
    <col min="1" max="1" width="19.6640625" customWidth="1"/>
    <col min="2" max="2" width="16.83203125" customWidth="1"/>
    <col min="3" max="3" width="23.1640625" customWidth="1"/>
    <col min="4" max="4" width="18.5" customWidth="1"/>
    <col min="5" max="5" width="9.5" customWidth="1"/>
    <col min="6" max="6" width="19.83203125" customWidth="1"/>
    <col min="7" max="7" width="19.5" customWidth="1"/>
  </cols>
  <sheetData>
    <row r="1" spans="1:7" x14ac:dyDescent="0.2">
      <c r="A1" s="11" t="s">
        <v>16</v>
      </c>
      <c r="B1" s="1"/>
      <c r="C1" s="1"/>
      <c r="D1" s="1"/>
      <c r="E1" s="1"/>
      <c r="F1" s="1"/>
      <c r="G1" s="1"/>
    </row>
    <row r="2" spans="1:7" x14ac:dyDescent="0.2">
      <c r="A2" s="1"/>
      <c r="B2" s="1"/>
      <c r="C2" s="1"/>
      <c r="D2" s="1"/>
      <c r="E2" s="1"/>
      <c r="F2" s="1"/>
      <c r="G2" s="1"/>
    </row>
    <row r="3" spans="1:7" x14ac:dyDescent="0.2">
      <c r="A3" s="2"/>
      <c r="B3" s="2"/>
      <c r="C3" s="2"/>
      <c r="D3" s="2"/>
      <c r="E3" s="2"/>
      <c r="F3" s="2"/>
      <c r="G3" s="2"/>
    </row>
    <row r="4" spans="1:7" ht="68" x14ac:dyDescent="0.2">
      <c r="A4" s="3" t="s">
        <v>0</v>
      </c>
      <c r="B4" s="4" t="s">
        <v>8</v>
      </c>
      <c r="C4" s="4" t="s">
        <v>9</v>
      </c>
      <c r="D4" s="4" t="s">
        <v>10</v>
      </c>
      <c r="E4" s="5" t="s">
        <v>11</v>
      </c>
      <c r="F4" s="4" t="s">
        <v>12</v>
      </c>
      <c r="G4" s="4" t="s">
        <v>13</v>
      </c>
    </row>
    <row r="5" spans="1:7" ht="32" customHeight="1" x14ac:dyDescent="0.2">
      <c r="A5" s="6" t="s">
        <v>1</v>
      </c>
      <c r="B5" s="7">
        <v>19087.8</v>
      </c>
      <c r="C5" s="8">
        <v>568.79999999999995</v>
      </c>
      <c r="D5" s="10">
        <f>B5-C5</f>
        <v>18519</v>
      </c>
      <c r="E5" s="8">
        <f>IF(B5&lt;=700,3.3,IF(B5&lt;1000,4.2,5.1))</f>
        <v>5.0999999999999996</v>
      </c>
      <c r="F5" s="10">
        <f>B5*E5</f>
        <v>97347.779999999984</v>
      </c>
      <c r="G5" s="8">
        <f>D5*E5</f>
        <v>94446.9</v>
      </c>
    </row>
    <row r="6" spans="1:7" ht="32" x14ac:dyDescent="0.2">
      <c r="A6" s="6" t="s">
        <v>2</v>
      </c>
      <c r="B6" s="8">
        <v>407.2</v>
      </c>
      <c r="C6" s="8">
        <v>203.1</v>
      </c>
      <c r="D6" s="10">
        <f t="shared" ref="D6:D12" si="0">B6-C6</f>
        <v>204.1</v>
      </c>
      <c r="E6" s="8">
        <f t="shared" ref="E6:E12" si="1">IF(B6&lt;=700,3.3,IF(B6&lt;1000,4.2,5.1))</f>
        <v>3.3</v>
      </c>
      <c r="F6" s="10">
        <f t="shared" ref="F6:F12" si="2">B6*E6</f>
        <v>1343.76</v>
      </c>
      <c r="G6" s="8">
        <f t="shared" ref="G6:G13" si="3">D6*E6</f>
        <v>673.53</v>
      </c>
    </row>
    <row r="7" spans="1:7" x14ac:dyDescent="0.2">
      <c r="A7" s="6" t="s">
        <v>3</v>
      </c>
      <c r="B7" s="9">
        <v>673</v>
      </c>
      <c r="C7" s="8">
        <v>198.9</v>
      </c>
      <c r="D7" s="10">
        <f t="shared" si="0"/>
        <v>474.1</v>
      </c>
      <c r="E7" s="8">
        <f t="shared" si="1"/>
        <v>3.3</v>
      </c>
      <c r="F7" s="10">
        <f t="shared" si="2"/>
        <v>2220.9</v>
      </c>
      <c r="G7" s="8">
        <f t="shared" si="3"/>
        <v>1564.53</v>
      </c>
    </row>
    <row r="8" spans="1:7" x14ac:dyDescent="0.2">
      <c r="A8" s="6" t="s">
        <v>4</v>
      </c>
      <c r="B8" s="8">
        <v>821.6</v>
      </c>
      <c r="C8" s="8">
        <v>401.2</v>
      </c>
      <c r="D8" s="10">
        <f t="shared" si="0"/>
        <v>420.40000000000003</v>
      </c>
      <c r="E8" s="8">
        <f t="shared" si="1"/>
        <v>4.2</v>
      </c>
      <c r="F8" s="10">
        <f t="shared" si="2"/>
        <v>3450.7200000000003</v>
      </c>
      <c r="G8" s="8">
        <f t="shared" si="3"/>
        <v>1765.6800000000003</v>
      </c>
    </row>
    <row r="9" spans="1:7" x14ac:dyDescent="0.2">
      <c r="A9" s="6" t="s">
        <v>14</v>
      </c>
      <c r="B9" s="8">
        <v>598.4</v>
      </c>
      <c r="C9" s="8">
        <v>131.5</v>
      </c>
      <c r="D9" s="10">
        <f t="shared" si="0"/>
        <v>466.9</v>
      </c>
      <c r="E9" s="8">
        <f t="shared" si="1"/>
        <v>3.3</v>
      </c>
      <c r="F9" s="10">
        <f t="shared" si="2"/>
        <v>1974.7199999999998</v>
      </c>
      <c r="G9" s="8">
        <f t="shared" si="3"/>
        <v>1540.7699999999998</v>
      </c>
    </row>
    <row r="10" spans="1:7" x14ac:dyDescent="0.2">
      <c r="A10" s="6" t="s">
        <v>15</v>
      </c>
      <c r="B10" s="8">
        <v>610</v>
      </c>
      <c r="C10" s="8">
        <v>345.6</v>
      </c>
      <c r="D10" s="10">
        <f t="shared" si="0"/>
        <v>264.39999999999998</v>
      </c>
      <c r="E10" s="8">
        <f t="shared" si="1"/>
        <v>3.3</v>
      </c>
      <c r="F10" s="10">
        <f t="shared" si="2"/>
        <v>2013</v>
      </c>
      <c r="G10" s="8">
        <f t="shared" si="3"/>
        <v>872.51999999999987</v>
      </c>
    </row>
    <row r="11" spans="1:7" x14ac:dyDescent="0.2">
      <c r="A11" s="6" t="s">
        <v>5</v>
      </c>
      <c r="B11" s="8">
        <v>756.3</v>
      </c>
      <c r="C11" s="8">
        <v>159.6</v>
      </c>
      <c r="D11" s="10">
        <f t="shared" si="0"/>
        <v>596.69999999999993</v>
      </c>
      <c r="E11" s="8">
        <f t="shared" si="1"/>
        <v>4.2</v>
      </c>
      <c r="F11" s="10">
        <f t="shared" si="2"/>
        <v>3176.46</v>
      </c>
      <c r="G11" s="8">
        <f t="shared" si="3"/>
        <v>2506.14</v>
      </c>
    </row>
    <row r="12" spans="1:7" x14ac:dyDescent="0.2">
      <c r="A12" s="6" t="s">
        <v>6</v>
      </c>
      <c r="B12" s="8">
        <v>614.29999999999995</v>
      </c>
      <c r="C12" s="8">
        <v>148.69999999999999</v>
      </c>
      <c r="D12" s="10">
        <f t="shared" si="0"/>
        <v>465.59999999999997</v>
      </c>
      <c r="E12" s="8">
        <f t="shared" si="1"/>
        <v>3.3</v>
      </c>
      <c r="F12" s="10">
        <f t="shared" si="2"/>
        <v>2027.1899999999998</v>
      </c>
      <c r="G12" s="8">
        <f t="shared" si="3"/>
        <v>1536.4799999999998</v>
      </c>
    </row>
    <row r="13" spans="1:7" x14ac:dyDescent="0.2">
      <c r="A13" s="6" t="s">
        <v>7</v>
      </c>
      <c r="B13" s="10">
        <f>SUM(B5:B12)</f>
        <v>23568.6</v>
      </c>
      <c r="C13" s="8">
        <f>SUM(C5:C12)</f>
        <v>2157.3999999999996</v>
      </c>
      <c r="D13" s="10">
        <f>SUM(D5:D12)</f>
        <v>21411.200000000001</v>
      </c>
      <c r="E13" s="8">
        <f>SUM(E5:E12)</f>
        <v>30</v>
      </c>
      <c r="F13" s="10">
        <f>SUM(F5:F12)</f>
        <v>113554.52999999998</v>
      </c>
      <c r="G13" s="8">
        <f>SUM(G5:G12)</f>
        <v>104906.54999999999</v>
      </c>
    </row>
  </sheetData>
  <mergeCells count="1">
    <mergeCell ref="A1:G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Ведомость переоценки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Iskender Kanimetov</dc:creator>
  <cp:lastModifiedBy>Iskender Kanimetov</cp:lastModifiedBy>
  <dcterms:created xsi:type="dcterms:W3CDTF">2025-12-06T20:18:12Z</dcterms:created>
  <dcterms:modified xsi:type="dcterms:W3CDTF">2025-12-06T21:04:51Z</dcterms:modified>
</cp:coreProperties>
</file>