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62AA6113-B5FF-7345-B430-37927838AD61}" xr6:coauthVersionLast="47" xr6:coauthVersionMax="47" xr10:uidLastSave="{00000000-0000-0000-0000-000000000000}"/>
  <bookViews>
    <workbookView xWindow="0" yWindow="860" windowWidth="36000" windowHeight="22520" xr2:uid="{7308BFDB-BDC9-7242-859F-E2A26E90C65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E12" i="1"/>
  <c r="D12" i="1"/>
  <c r="C12" i="1"/>
  <c r="B12" i="1"/>
  <c r="G2" i="1"/>
  <c r="E11" i="1"/>
  <c r="E3" i="1"/>
  <c r="E4" i="1"/>
  <c r="E5" i="1"/>
  <c r="E6" i="1"/>
  <c r="E7" i="1"/>
  <c r="E8" i="1"/>
  <c r="E9" i="1"/>
  <c r="E10" i="1"/>
  <c r="E2" i="1"/>
  <c r="G11" i="1"/>
  <c r="G10" i="1"/>
  <c r="G9" i="1"/>
  <c r="G8" i="1"/>
  <c r="G7" i="1"/>
  <c r="G6" i="1"/>
  <c r="G5" i="1"/>
  <c r="G4" i="1"/>
  <c r="G3" i="1"/>
  <c r="F4" i="1" l="1"/>
  <c r="F9" i="1"/>
  <c r="F7" i="1"/>
  <c r="F5" i="1"/>
  <c r="F11" i="1"/>
  <c r="F2" i="1"/>
  <c r="F10" i="1"/>
  <c r="F8" i="1"/>
  <c r="F6" i="1"/>
  <c r="F3" i="1"/>
</calcChain>
</file>

<file path=xl/sharedStrings.xml><?xml version="1.0" encoding="utf-8"?>
<sst xmlns="http://schemas.openxmlformats.org/spreadsheetml/2006/main" count="19" uniqueCount="19">
  <si>
    <t>Клуб</t>
  </si>
  <si>
    <t>Январь</t>
  </si>
  <si>
    <t>Февраль</t>
  </si>
  <si>
    <t>Март</t>
  </si>
  <si>
    <t>Суммарная выручка</t>
  </si>
  <si>
    <t>Место</t>
  </si>
  <si>
    <t>Средняя выручка</t>
  </si>
  <si>
    <t>Доля в общей выручке</t>
  </si>
  <si>
    <t>Альтаир</t>
  </si>
  <si>
    <t>Антей</t>
  </si>
  <si>
    <t>Арена</t>
  </si>
  <si>
    <t>Арсенал</t>
  </si>
  <si>
    <t>Блиндаж</t>
  </si>
  <si>
    <t>Галакс</t>
  </si>
  <si>
    <t>Звезда</t>
  </si>
  <si>
    <t>Патриот</t>
  </si>
  <si>
    <t>Полигон</t>
  </si>
  <si>
    <t>Сеть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</si>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</sst>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#.00&quot; тыс.сом&quot;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i/>
      <sz val="11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0" fillId="0" borderId="0" xfId="0" applyNumberFormat="1"/>
    <xf numFmtId="165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</a:t>
            </a:r>
            <a:r>
              <a:rPr lang="ru-RU" baseline="0"/>
              <a:t> о работе компьютерных клубов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228-6249-B499-6AA2F52CE9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228-6249-B499-6AA2F52CE9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228-6249-B499-6AA2F52CE9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228-6249-B499-6AA2F52CE9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228-6249-B499-6AA2F52CE9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228-6249-B499-6AA2F52CE9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228-6249-B499-6AA2F52CE9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228-6249-B499-6AA2F52CE9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228-6249-B499-6AA2F52CE9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228-6249-B499-6AA2F52CE9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228-6249-B499-6AA2F52CE95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228-6249-B499-6AA2F52CE95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228-6249-B499-6AA2F52CE95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228-6249-B499-6AA2F52CE95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228-6249-B499-6AA2F52CE95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228-6249-B499-6AA2F52CE95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228-6249-B499-6AA2F52CE95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C228-6249-B499-6AA2F52CE95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228-6249-B499-6AA2F52CE95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228-6249-B499-6AA2F52CE952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Лист1!$A$2:$A$11</c:f>
              <c:strCache>
                <c:ptCount val="10"/>
                <c:pt idx="0">
                  <c:v>Альтаир</c:v>
                </c:pt>
                <c:pt idx="1">
                  <c:v>Антей</c:v>
                </c:pt>
                <c:pt idx="2">
                  <c:v>Арена</c:v>
                </c:pt>
                <c:pt idx="3">
                  <c:v>Арсенал</c:v>
                </c:pt>
                <c:pt idx="4">
                  <c:v>Блиндаж</c:v>
                </c:pt>
                <c:pt idx="5">
                  <c:v>Галакс</c:v>
                </c:pt>
                <c:pt idx="6">
                  <c:v>Звезда</c:v>
                </c:pt>
                <c:pt idx="7">
                  <c:v>Патриот</c:v>
                </c:pt>
                <c:pt idx="8">
                  <c:v>Полигон</c:v>
                </c:pt>
                <c:pt idx="9">
                  <c:v>Сеть</c:v>
                </c:pt>
              </c:strCache>
            </c:strRef>
          </c:cat>
          <c:val>
            <c:numRef>
              <c:f>Лист1!$H$2:$H$11</c:f>
              <c:numCache>
                <c:formatCode>0.00%</c:formatCode>
                <c:ptCount val="10"/>
                <c:pt idx="0">
                  <c:v>6.443526983190799E-2</c:v>
                </c:pt>
                <c:pt idx="1">
                  <c:v>6.6057210262459448E-2</c:v>
                </c:pt>
                <c:pt idx="2">
                  <c:v>0.12366067040204463</c:v>
                </c:pt>
                <c:pt idx="3">
                  <c:v>0.10749041580654674</c:v>
                </c:pt>
                <c:pt idx="4">
                  <c:v>0.1392902781873587</c:v>
                </c:pt>
                <c:pt idx="5">
                  <c:v>7.2790720534748846E-2</c:v>
                </c:pt>
                <c:pt idx="6">
                  <c:v>0.11918804679052393</c:v>
                </c:pt>
                <c:pt idx="7">
                  <c:v>8.1490219207706674E-2</c:v>
                </c:pt>
                <c:pt idx="8">
                  <c:v>0.13884793079720831</c:v>
                </c:pt>
                <c:pt idx="9">
                  <c:v>8.6749238179494745E-2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8-6249-B499-6AA2F52CE95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6350</xdr:rowOff>
    </xdr:from>
    <xdr:to>
      <xdr:col>4</xdr:col>
      <xdr:colOff>850900</xdr:colOff>
      <xdr:row>26</xdr:row>
      <xdr:rowOff>107950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8013A2-0816-26F8-2A2A-7B16BA295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E7F0-9D9F-1341-9714-6B55E1EEC6A5}">
  <dimension ref="A1:H16"/>
  <sheetViews>
    <sheetView tabSelected="1" workbookViewId="0">
      <selection activeCell="G25" sqref="G25"/>
    </sheetView>
  </sheetViews>
  <sheetFormatPr baseColWidth="10" defaultRowHeight="16" x14ac:dyDescent="0.2"/>
  <cols>
    <col min="2" max="4" width="20.1640625" bestFit="1" customWidth="1"/>
    <col min="5" max="5" width="21.1640625" bestFit="1" customWidth="1"/>
    <col min="6" max="6" width="7.1640625" customWidth="1"/>
    <col min="7" max="7" width="20.1640625" bestFit="1" customWidth="1"/>
    <col min="8" max="8" width="13" customWidth="1"/>
  </cols>
  <sheetData>
    <row r="1" spans="1:8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A2" s="3" t="s">
        <v>8</v>
      </c>
      <c r="B2" s="6">
        <v>345000</v>
      </c>
      <c r="C2" s="6">
        <v>543000</v>
      </c>
      <c r="D2" s="6">
        <v>423000</v>
      </c>
      <c r="E2" s="6">
        <f>SUM(B2:D2)</f>
        <v>1311000</v>
      </c>
      <c r="F2" s="7">
        <f>RANK(E2,$E$2:$E$11)</f>
        <v>10</v>
      </c>
      <c r="G2" s="6">
        <f>AVERAGE(B2:D2)</f>
        <v>437000</v>
      </c>
      <c r="H2" s="8">
        <f>E2/$E$12</f>
        <v>6.443526983190799E-2</v>
      </c>
    </row>
    <row r="3" spans="1:8" x14ac:dyDescent="0.2">
      <c r="A3" s="3" t="s">
        <v>9</v>
      </c>
      <c r="B3" s="6">
        <v>657000</v>
      </c>
      <c r="C3" s="6">
        <v>234000</v>
      </c>
      <c r="D3" s="6">
        <v>453000</v>
      </c>
      <c r="E3" s="6">
        <f t="shared" ref="E3:E10" si="0">SUM(B3:D3)</f>
        <v>1344000</v>
      </c>
      <c r="F3" s="7">
        <f t="shared" ref="F3:F12" si="1">RANK(E3,$E$2:$E$11)</f>
        <v>9</v>
      </c>
      <c r="G3" s="6">
        <f t="shared" ref="G3:G11" si="2">AVERAGE(B3:D3)</f>
        <v>448000</v>
      </c>
      <c r="H3" s="8">
        <f t="shared" ref="H3:H11" si="3">E3/$E$12</f>
        <v>6.6057210262459448E-2</v>
      </c>
    </row>
    <row r="4" spans="1:8" x14ac:dyDescent="0.2">
      <c r="A4" s="3" t="s">
        <v>10</v>
      </c>
      <c r="B4" s="6">
        <v>756000</v>
      </c>
      <c r="C4" s="6">
        <v>904000</v>
      </c>
      <c r="D4" s="6">
        <v>856000</v>
      </c>
      <c r="E4" s="6">
        <f t="shared" si="0"/>
        <v>2516000</v>
      </c>
      <c r="F4" s="7">
        <f t="shared" si="1"/>
        <v>3</v>
      </c>
      <c r="G4" s="6">
        <f t="shared" si="2"/>
        <v>838666.66666666663</v>
      </c>
      <c r="H4" s="8">
        <f t="shared" si="3"/>
        <v>0.12366067040204463</v>
      </c>
    </row>
    <row r="5" spans="1:8" x14ac:dyDescent="0.2">
      <c r="A5" s="3" t="s">
        <v>11</v>
      </c>
      <c r="B5" s="6">
        <v>798000</v>
      </c>
      <c r="C5" s="6">
        <v>735000</v>
      </c>
      <c r="D5" s="6">
        <v>654000</v>
      </c>
      <c r="E5" s="6">
        <f t="shared" si="0"/>
        <v>2187000</v>
      </c>
      <c r="F5" s="7">
        <f t="shared" si="1"/>
        <v>5</v>
      </c>
      <c r="G5" s="6">
        <f t="shared" si="2"/>
        <v>729000</v>
      </c>
      <c r="H5" s="8">
        <f t="shared" si="3"/>
        <v>0.10749041580654674</v>
      </c>
    </row>
    <row r="6" spans="1:8" x14ac:dyDescent="0.2">
      <c r="A6" s="3" t="s">
        <v>12</v>
      </c>
      <c r="B6" s="6">
        <v>879000</v>
      </c>
      <c r="C6" s="6">
        <v>984000</v>
      </c>
      <c r="D6" s="6">
        <v>971000</v>
      </c>
      <c r="E6" s="6">
        <f t="shared" si="0"/>
        <v>2834000</v>
      </c>
      <c r="F6" s="7">
        <f t="shared" si="1"/>
        <v>1</v>
      </c>
      <c r="G6" s="6">
        <f t="shared" si="2"/>
        <v>944666.66666666663</v>
      </c>
      <c r="H6" s="8">
        <f t="shared" si="3"/>
        <v>0.1392902781873587</v>
      </c>
    </row>
    <row r="7" spans="1:8" x14ac:dyDescent="0.2">
      <c r="A7" s="3" t="s">
        <v>13</v>
      </c>
      <c r="B7" s="6">
        <v>375000</v>
      </c>
      <c r="C7" s="6">
        <v>594000</v>
      </c>
      <c r="D7" s="6">
        <v>512000</v>
      </c>
      <c r="E7" s="6">
        <f t="shared" si="0"/>
        <v>1481000</v>
      </c>
      <c r="F7" s="7">
        <f t="shared" si="1"/>
        <v>8</v>
      </c>
      <c r="G7" s="6">
        <f t="shared" si="2"/>
        <v>493666.66666666669</v>
      </c>
      <c r="H7" s="8">
        <f t="shared" si="3"/>
        <v>7.2790720534748846E-2</v>
      </c>
    </row>
    <row r="8" spans="1:8" x14ac:dyDescent="0.2">
      <c r="A8" s="3" t="s">
        <v>14</v>
      </c>
      <c r="B8" s="6">
        <v>912000</v>
      </c>
      <c r="C8" s="6">
        <v>634000</v>
      </c>
      <c r="D8" s="6">
        <v>879000</v>
      </c>
      <c r="E8" s="6">
        <f t="shared" si="0"/>
        <v>2425000</v>
      </c>
      <c r="F8" s="7">
        <f t="shared" si="1"/>
        <v>4</v>
      </c>
      <c r="G8" s="6">
        <f t="shared" si="2"/>
        <v>808333.33333333337</v>
      </c>
      <c r="H8" s="8">
        <f t="shared" si="3"/>
        <v>0.11918804679052393</v>
      </c>
    </row>
    <row r="9" spans="1:8" x14ac:dyDescent="0.2">
      <c r="A9" s="3" t="s">
        <v>15</v>
      </c>
      <c r="B9" s="6">
        <v>467000</v>
      </c>
      <c r="C9" s="6">
        <v>593000</v>
      </c>
      <c r="D9" s="6">
        <v>598000</v>
      </c>
      <c r="E9" s="6">
        <f t="shared" si="0"/>
        <v>1658000</v>
      </c>
      <c r="F9" s="7">
        <f t="shared" si="1"/>
        <v>7</v>
      </c>
      <c r="G9" s="6">
        <f t="shared" si="2"/>
        <v>552666.66666666663</v>
      </c>
      <c r="H9" s="8">
        <f t="shared" si="3"/>
        <v>8.1490219207706674E-2</v>
      </c>
    </row>
    <row r="10" spans="1:8" x14ac:dyDescent="0.2">
      <c r="A10" s="3" t="s">
        <v>16</v>
      </c>
      <c r="B10" s="6">
        <v>1003000</v>
      </c>
      <c r="C10" s="6">
        <v>945000</v>
      </c>
      <c r="D10" s="6">
        <v>877000</v>
      </c>
      <c r="E10" s="6">
        <f t="shared" si="0"/>
        <v>2825000</v>
      </c>
      <c r="F10" s="7">
        <f t="shared" si="1"/>
        <v>2</v>
      </c>
      <c r="G10" s="6">
        <f t="shared" si="2"/>
        <v>941666.66666666663</v>
      </c>
      <c r="H10" s="8">
        <f t="shared" si="3"/>
        <v>0.13884793079720831</v>
      </c>
    </row>
    <row r="11" spans="1:8" x14ac:dyDescent="0.2">
      <c r="A11" s="3" t="s">
        <v>17</v>
      </c>
      <c r="B11" s="6">
        <v>545000</v>
      </c>
      <c r="C11" s="6">
        <v>567000</v>
      </c>
      <c r="D11" s="6">
        <v>653000</v>
      </c>
      <c r="E11" s="6">
        <f>SUM(B11:D11)</f>
        <v>1765000</v>
      </c>
      <c r="F11" s="7">
        <f t="shared" si="1"/>
        <v>6</v>
      </c>
      <c r="G11" s="6">
        <f t="shared" si="2"/>
        <v>588333.33333333337</v>
      </c>
      <c r="H11" s="8">
        <f t="shared" si="3"/>
        <v>8.6749238179494745E-2</v>
      </c>
    </row>
    <row r="12" spans="1:8" x14ac:dyDescent="0.2">
      <c r="A12" s="3" t="s">
        <v>18</v>
      </c>
      <c r="B12" s="6">
        <f>SUM(B2:B11)</f>
        <v>6737000</v>
      </c>
      <c r="C12" s="6">
        <f>SUM(C2:C11)</f>
        <v>6733000</v>
      </c>
      <c r="D12" s="6">
        <f>SUM(D2:D11)</f>
        <v>6876000</v>
      </c>
      <c r="E12" s="6">
        <f>SUM(E2:E11)</f>
        <v>20346000</v>
      </c>
      <c r="F12" s="4"/>
      <c r="G12" s="6"/>
      <c r="H12" s="4"/>
    </row>
    <row r="16" spans="1:8" x14ac:dyDescent="0.2">
      <c r="H1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2025-12-06T21:06:24Z</dcterms:created>
  <dcterms:modified xsi:type="dcterms:W3CDTF">2025-12-06T21:38:04Z</dcterms:modified>
</cp:coreProperties>
</file>