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3FDE4E9F-FB53-844C-A3DA-92D42202634C}" xr6:coauthVersionLast="47" xr6:coauthVersionMax="47" xr10:uidLastSave="{00000000-0000-0000-0000-000000000000}"/>
  <bookViews>
    <workbookView xWindow="0" yWindow="860" windowWidth="36000" windowHeight="22520" activeTab="1" xr2:uid="{37E64C0C-821A-654B-A881-B7EBC980B754}"/>
  </bookViews>
  <sheets>
    <sheet name="Продажи" sheetId="1" r:id="rId1"/>
    <sheet name="Продажи 2" sheetId="2" r:id="rId2"/>
  </sheets>
  <definedNames>
    <definedName name="Курс">'Продажи 2'!$H$2</definedName>
    <definedName name="Цена">'Продажи 2'!$G$2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Iskender Kanimetov</author>
  </authors>
  <commentList>
    <comment ref="B2" authorId="0" shapeId="0" xr:uid="{E19CA172-B99C-EE4C-B2FD-6FE76424162D}">
      <text>
        <r>
          <rPr>
            <sz val="10"/>
            <color rgb="FF000000"/>
            <rFont val="Tahoma"/>
            <family val="2"/>
            <charset val="204"/>
          </rPr>
          <t>Серийный № Х34.
Изготовлен 02.04.2005г.
Контракт о поставке №485673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Iskender Kanimetov</author>
  </authors>
  <commentList>
    <comment ref="B2" authorId="0" shapeId="0" xr:uid="{9CFBA2E8-10FB-C14B-A4FC-4D090DC032A0}">
      <text>
        <r>
          <rPr>
            <sz val="10"/>
            <color rgb="FF000000"/>
            <rFont val="Tahoma"/>
            <family val="2"/>
            <charset val="204"/>
          </rPr>
          <t>Серийный № Х34.
Изготовлен 02.04.2005г.
Контракт о поставке №485673</t>
        </r>
      </text>
    </comment>
    <comment ref="I2" authorId="0" shapeId="0" xr:uid="{7DF27023-667E-4A46-874F-8B437C61EBAC}">
      <text>
        <r>
          <rPr>
            <b/>
            <sz val="10"/>
            <color rgb="FF000000"/>
            <rFont val="Tahoma"/>
            <family val="2"/>
            <charset val="204"/>
          </rPr>
          <t xml:space="preserve">Тут формула отличается!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<sst xmlns="http://schemas.openxmlformats.org/spreadsheetml/2006/main" count="138" uniqueCount="50">
  <si>
    <t xml:space="preserve">Название товара </t>
  </si>
  <si>
    <t>Страна-поставщик</t>
  </si>
  <si>
    <t>Дата поставки</t>
  </si>
  <si>
    <t>Кол-во</t>
  </si>
  <si>
    <t>Цена в валюте</t>
  </si>
  <si>
    <t>Курс валюты</t>
  </si>
  <si>
    <t>Холодильник</t>
  </si>
  <si>
    <t>Х34</t>
  </si>
  <si>
    <t>Бельгия</t>
  </si>
  <si>
    <t>шт.</t>
  </si>
  <si>
    <t>Пылесос</t>
  </si>
  <si>
    <t>П47</t>
  </si>
  <si>
    <t xml:space="preserve">Италия </t>
  </si>
  <si>
    <t>Телевизор</t>
  </si>
  <si>
    <t>Т12</t>
  </si>
  <si>
    <t>Англия</t>
  </si>
  <si>
    <t>Ковер</t>
  </si>
  <si>
    <t>К42</t>
  </si>
  <si>
    <t>Турция</t>
  </si>
  <si>
    <t>Диван</t>
  </si>
  <si>
    <t>Д26</t>
  </si>
  <si>
    <t>Венгрия</t>
  </si>
  <si>
    <t>Ткань</t>
  </si>
  <si>
    <t>Т18</t>
  </si>
  <si>
    <t>метр.</t>
  </si>
  <si>
    <t>Телефон</t>
  </si>
  <si>
    <t>Т78</t>
  </si>
  <si>
    <t>Германия</t>
  </si>
  <si>
    <t>Люстра</t>
  </si>
  <si>
    <t>Л14</t>
  </si>
  <si>
    <t>Чехия</t>
  </si>
  <si>
    <t>Цена в сомах</t>
  </si>
  <si>
    <t>К       о      д</t>
  </si>
  <si>
    <t>Ед. измерения</t>
  </si>
  <si>
    <t>Стул</t>
  </si>
  <si>
    <t>X56</t>
  </si>
  <si>
    <t>Испания</t>
  </si>
  <si>
    <t>Пылесос ручной</t>
  </si>
  <si>
    <t>P48</t>
  </si>
  <si>
    <t>Франция</t>
  </si>
  <si>
    <t>Кондиционер</t>
  </si>
  <si>
    <t>Микроволновка</t>
  </si>
  <si>
    <t>Пылесос моющий</t>
  </si>
  <si>
    <t>Телевизор LCD</t>
  </si>
  <si>
    <t>Холодильник двухкамерный</t>
  </si>
  <si>
    <t>K63</t>
  </si>
  <si>
    <t>M71</t>
  </si>
  <si>
    <t>P82</t>
  </si>
  <si>
    <t>T95</t>
  </si>
  <si>
    <t>X99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</si>
</sst>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сом&quot;_-;\-* #,##0.00\ &quot;сом&quot;_-;_-* &quot;-&quot;??\ &quot;сом&quot;_-;_-@_-"/>
    <numFmt numFmtId="167" formatCode="_-[$£-809]* #,##0.00_-;\-[$£-809]* #,##0.00_-;_-[$£-809]* &quot;-&quot;??_-;_-@_-"/>
    <numFmt numFmtId="168" formatCode="_-[$€-2]\ * #,##0.00_-;\-[$€-2]\ * #,##0.00_-;_-[$€-2]\ * &quot;-&quot;??_-;_-@_-"/>
  </numFmts>
  <fonts count="7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charset val="204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44" fontId="0" fillId="0" borderId="0" xfId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8" fontId="4" fillId="2" borderId="1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8" fontId="0" fillId="2" borderId="1" xfId="0" applyNumberFormat="1" applyFont="1" applyFill="1" applyBorder="1" applyAlignment="1">
      <alignment horizontal="center"/>
    </xf>
    <xf numFmtId="167" fontId="0" fillId="2" borderId="1" xfId="0" applyNumberFormat="1" applyFont="1" applyFill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9">
    <dxf>
      <fill>
        <patternFill>
          <bgColor rgb="FFFF0000"/>
        </patternFill>
      </fill>
    </dxf>
    <dxf>
      <fill>
        <patternFill>
          <bgColor theme="3" tint="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DA50-F84C-8741-AB00-D2CD4AAC5ABA}">
  <dimension ref="A1:L16"/>
  <sheetViews>
    <sheetView workbookViewId="0">
      <selection activeCell="M13" sqref="M13"/>
    </sheetView>
  </sheetViews>
  <sheetFormatPr baseColWidth="10" defaultRowHeight="16" x14ac:dyDescent="0.2"/>
  <cols>
    <col min="1" max="1" width="24.83203125" bestFit="1" customWidth="1"/>
    <col min="2" max="2" width="4.6640625" bestFit="1" customWidth="1"/>
    <col min="3" max="3" width="10.6640625" bestFit="1" customWidth="1"/>
    <col min="4" max="4" width="10.1640625" bestFit="1" customWidth="1"/>
    <col min="5" max="5" width="7" bestFit="1" customWidth="1"/>
    <col min="6" max="6" width="10.6640625" bestFit="1" customWidth="1"/>
    <col min="7" max="7" width="11.1640625" bestFit="1" customWidth="1"/>
    <col min="8" max="8" width="11.5" bestFit="1" customWidth="1"/>
    <col min="9" max="9" width="14" bestFit="1" customWidth="1"/>
  </cols>
  <sheetData>
    <row r="1" spans="1:12" ht="51" x14ac:dyDescent="0.2">
      <c r="A1" s="7" t="s">
        <v>0</v>
      </c>
      <c r="B1" s="7" t="s">
        <v>32</v>
      </c>
      <c r="C1" s="7" t="s">
        <v>1</v>
      </c>
      <c r="D1" s="7" t="s">
        <v>2</v>
      </c>
      <c r="E1" s="7" t="s">
        <v>3</v>
      </c>
      <c r="F1" s="7" t="s">
        <v>33</v>
      </c>
      <c r="G1" s="7" t="s">
        <v>4</v>
      </c>
      <c r="H1" s="7" t="s">
        <v>5</v>
      </c>
      <c r="I1" s="7" t="s">
        <v>31</v>
      </c>
    </row>
    <row r="2" spans="1:12" x14ac:dyDescent="0.2">
      <c r="A2" s="2" t="s">
        <v>6</v>
      </c>
      <c r="B2" s="2" t="s">
        <v>7</v>
      </c>
      <c r="C2" s="1" t="s">
        <v>8</v>
      </c>
      <c r="D2" s="3">
        <v>38788</v>
      </c>
      <c r="E2" s="4">
        <v>12</v>
      </c>
      <c r="F2" s="4" t="s">
        <v>9</v>
      </c>
      <c r="G2" s="13">
        <v>750</v>
      </c>
      <c r="H2" s="5">
        <v>100.1</v>
      </c>
      <c r="I2" s="6">
        <f>G2*H2</f>
        <v>75075</v>
      </c>
    </row>
    <row r="3" spans="1:12" x14ac:dyDescent="0.2">
      <c r="A3" s="2" t="s">
        <v>10</v>
      </c>
      <c r="B3" s="2" t="s">
        <v>11</v>
      </c>
      <c r="C3" s="1" t="s">
        <v>12</v>
      </c>
      <c r="D3" s="3">
        <v>38700</v>
      </c>
      <c r="E3" s="4">
        <v>32</v>
      </c>
      <c r="F3" s="4" t="s">
        <v>9</v>
      </c>
      <c r="G3" s="13">
        <v>180</v>
      </c>
      <c r="H3" s="5">
        <v>100.1</v>
      </c>
      <c r="I3" s="6">
        <f t="shared" ref="I3:I16" si="0">G3*H3</f>
        <v>18018</v>
      </c>
    </row>
    <row r="4" spans="1:12" x14ac:dyDescent="0.2">
      <c r="A4" s="2" t="s">
        <v>13</v>
      </c>
      <c r="B4" s="2" t="s">
        <v>14</v>
      </c>
      <c r="C4" s="1" t="s">
        <v>15</v>
      </c>
      <c r="D4" s="3">
        <v>38673</v>
      </c>
      <c r="E4" s="4">
        <v>14</v>
      </c>
      <c r="F4" s="4" t="s">
        <v>9</v>
      </c>
      <c r="G4" s="14">
        <v>523.55999999999995</v>
      </c>
      <c r="H4" s="5">
        <v>116.6</v>
      </c>
      <c r="I4" s="6">
        <f t="shared" si="0"/>
        <v>61047.09599999999</v>
      </c>
    </row>
    <row r="5" spans="1:12" x14ac:dyDescent="0.2">
      <c r="A5" s="2" t="s">
        <v>16</v>
      </c>
      <c r="B5" s="2" t="s">
        <v>17</v>
      </c>
      <c r="C5" s="1" t="s">
        <v>18</v>
      </c>
      <c r="D5" s="3">
        <v>38635</v>
      </c>
      <c r="E5" s="4">
        <v>8</v>
      </c>
      <c r="F5" s="4" t="s">
        <v>9</v>
      </c>
      <c r="G5" s="13">
        <v>250</v>
      </c>
      <c r="H5" s="5">
        <v>100.1</v>
      </c>
      <c r="I5" s="6">
        <f t="shared" si="0"/>
        <v>25025</v>
      </c>
    </row>
    <row r="6" spans="1:12" x14ac:dyDescent="0.2">
      <c r="A6" s="2" t="s">
        <v>19</v>
      </c>
      <c r="B6" s="2" t="s">
        <v>20</v>
      </c>
      <c r="C6" s="1" t="s">
        <v>21</v>
      </c>
      <c r="D6" s="3">
        <v>38751</v>
      </c>
      <c r="E6" s="4">
        <v>7</v>
      </c>
      <c r="F6" s="4" t="s">
        <v>9</v>
      </c>
      <c r="G6" s="13">
        <v>350</v>
      </c>
      <c r="H6" s="5">
        <v>100.1</v>
      </c>
      <c r="I6" s="6">
        <f t="shared" si="0"/>
        <v>35035</v>
      </c>
    </row>
    <row r="7" spans="1:12" x14ac:dyDescent="0.2">
      <c r="A7" s="2" t="s">
        <v>22</v>
      </c>
      <c r="B7" s="2" t="s">
        <v>23</v>
      </c>
      <c r="C7" s="1" t="s">
        <v>15</v>
      </c>
      <c r="D7" s="3">
        <v>38740</v>
      </c>
      <c r="E7" s="4">
        <v>150</v>
      </c>
      <c r="F7" s="4" t="s">
        <v>24</v>
      </c>
      <c r="G7" s="14">
        <v>9.2100000000000009</v>
      </c>
      <c r="H7" s="5">
        <v>116.6</v>
      </c>
      <c r="I7" s="6">
        <f t="shared" si="0"/>
        <v>1073.886</v>
      </c>
    </row>
    <row r="8" spans="1:12" x14ac:dyDescent="0.2">
      <c r="A8" s="2" t="s">
        <v>25</v>
      </c>
      <c r="B8" s="2" t="s">
        <v>26</v>
      </c>
      <c r="C8" s="1" t="s">
        <v>27</v>
      </c>
      <c r="D8" s="3">
        <v>38703</v>
      </c>
      <c r="E8" s="4">
        <v>57</v>
      </c>
      <c r="F8" s="4" t="s">
        <v>9</v>
      </c>
      <c r="G8" s="13">
        <v>197</v>
      </c>
      <c r="H8" s="5">
        <v>100.1</v>
      </c>
      <c r="I8" s="6">
        <f t="shared" si="0"/>
        <v>19719.699999999997</v>
      </c>
    </row>
    <row r="9" spans="1:12" x14ac:dyDescent="0.2">
      <c r="A9" s="2" t="s">
        <v>28</v>
      </c>
      <c r="B9" s="2" t="s">
        <v>29</v>
      </c>
      <c r="C9" s="1" t="s">
        <v>30</v>
      </c>
      <c r="D9" s="3">
        <v>38692</v>
      </c>
      <c r="E9" s="4">
        <v>38</v>
      </c>
      <c r="F9" s="4" t="s">
        <v>9</v>
      </c>
      <c r="G9" s="13">
        <v>65</v>
      </c>
      <c r="H9" s="5">
        <v>100.1</v>
      </c>
      <c r="I9" s="6">
        <f t="shared" si="0"/>
        <v>6506.5</v>
      </c>
    </row>
    <row r="10" spans="1:12" x14ac:dyDescent="0.2">
      <c r="A10" s="10" t="s">
        <v>34</v>
      </c>
      <c r="B10" s="10" t="s">
        <v>35</v>
      </c>
      <c r="C10" s="11" t="s">
        <v>36</v>
      </c>
      <c r="D10" s="9">
        <v>38737</v>
      </c>
      <c r="E10" s="4">
        <v>25</v>
      </c>
      <c r="F10" s="4" t="s">
        <v>9</v>
      </c>
      <c r="G10" s="15">
        <v>420</v>
      </c>
      <c r="H10" s="5">
        <v>100.1</v>
      </c>
      <c r="I10" s="6">
        <f t="shared" si="0"/>
        <v>42042</v>
      </c>
      <c r="L10" s="8"/>
    </row>
    <row r="11" spans="1:12" x14ac:dyDescent="0.2">
      <c r="A11" s="12" t="s">
        <v>37</v>
      </c>
      <c r="B11" s="12" t="s">
        <v>38</v>
      </c>
      <c r="C11" s="4" t="s">
        <v>39</v>
      </c>
      <c r="D11" s="3">
        <v>38753</v>
      </c>
      <c r="E11" s="4">
        <v>18</v>
      </c>
      <c r="F11" s="4" t="s">
        <v>9</v>
      </c>
      <c r="G11" s="15">
        <v>115</v>
      </c>
      <c r="H11" s="5">
        <v>100.1</v>
      </c>
      <c r="I11" s="6">
        <f t="shared" si="0"/>
        <v>11511.5</v>
      </c>
    </row>
    <row r="12" spans="1:12" x14ac:dyDescent="0.2">
      <c r="A12" s="12" t="s">
        <v>40</v>
      </c>
      <c r="B12" s="12" t="s">
        <v>45</v>
      </c>
      <c r="C12" s="4" t="s">
        <v>12</v>
      </c>
      <c r="D12" s="3">
        <v>38760</v>
      </c>
      <c r="E12" s="4">
        <v>9</v>
      </c>
      <c r="F12" s="4" t="s">
        <v>9</v>
      </c>
      <c r="G12" s="13">
        <v>240</v>
      </c>
      <c r="H12" s="5">
        <v>100.1</v>
      </c>
      <c r="I12" s="6">
        <f t="shared" si="0"/>
        <v>24024</v>
      </c>
    </row>
    <row r="13" spans="1:12" x14ac:dyDescent="0.2">
      <c r="A13" s="12" t="s">
        <v>41</v>
      </c>
      <c r="B13" s="12" t="s">
        <v>46</v>
      </c>
      <c r="C13" s="4" t="s">
        <v>27</v>
      </c>
      <c r="D13" s="3">
        <v>38779</v>
      </c>
      <c r="E13" s="4">
        <v>16</v>
      </c>
      <c r="F13" s="4" t="s">
        <v>9</v>
      </c>
      <c r="G13" s="15">
        <v>189</v>
      </c>
      <c r="H13" s="5">
        <v>100.1</v>
      </c>
      <c r="I13" s="6">
        <f t="shared" si="0"/>
        <v>18918.899999999998</v>
      </c>
    </row>
    <row r="14" spans="1:12" x14ac:dyDescent="0.2">
      <c r="A14" s="12" t="s">
        <v>42</v>
      </c>
      <c r="B14" s="12" t="s">
        <v>47</v>
      </c>
      <c r="C14" s="4" t="s">
        <v>15</v>
      </c>
      <c r="D14" s="3">
        <v>38791</v>
      </c>
      <c r="E14" s="4">
        <v>11</v>
      </c>
      <c r="F14" s="4" t="s">
        <v>9</v>
      </c>
      <c r="G14" s="16">
        <v>162</v>
      </c>
      <c r="H14" s="5">
        <v>116.6</v>
      </c>
      <c r="I14" s="6">
        <f t="shared" si="0"/>
        <v>18889.2</v>
      </c>
    </row>
    <row r="15" spans="1:12" x14ac:dyDescent="0.2">
      <c r="A15" s="12" t="s">
        <v>43</v>
      </c>
      <c r="B15" s="12" t="s">
        <v>48</v>
      </c>
      <c r="C15" s="4" t="s">
        <v>18</v>
      </c>
      <c r="D15" s="3">
        <v>38797</v>
      </c>
      <c r="E15" s="4">
        <v>6</v>
      </c>
      <c r="F15" s="4" t="s">
        <v>9</v>
      </c>
      <c r="G15" s="13">
        <v>730</v>
      </c>
      <c r="H15" s="5">
        <v>100.1</v>
      </c>
      <c r="I15" s="6">
        <f t="shared" si="0"/>
        <v>73073</v>
      </c>
    </row>
    <row r="16" spans="1:12" x14ac:dyDescent="0.2">
      <c r="A16" s="12" t="s">
        <v>44</v>
      </c>
      <c r="B16" s="12" t="s">
        <v>49</v>
      </c>
      <c r="C16" s="4" t="s">
        <v>30</v>
      </c>
      <c r="D16" s="3">
        <v>38805</v>
      </c>
      <c r="E16" s="4">
        <v>5</v>
      </c>
      <c r="F16" s="4" t="s">
        <v>9</v>
      </c>
      <c r="G16" s="13">
        <v>410</v>
      </c>
      <c r="H16" s="5">
        <v>100.1</v>
      </c>
      <c r="I16" s="6">
        <f t="shared" si="0"/>
        <v>41041</v>
      </c>
    </row>
  </sheetData>
  <conditionalFormatting sqref="I2:I16">
    <cfRule type="cellIs" dxfId="7" priority="3" operator="lessThanOrEqual">
      <formula>"5000$M$10"</formula>
    </cfRule>
    <cfRule type="cellIs" dxfId="8" priority="2" operator="between">
      <formula>5000</formula>
      <formula>10000</formula>
    </cfRule>
    <cfRule type="cellIs" dxfId="6" priority="1" operator="greaterThanOrEqual">
      <formula>10000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446C-379E-494B-A4E4-722027786E07}">
  <dimension ref="A1:I16"/>
  <sheetViews>
    <sheetView tabSelected="1" workbookViewId="0">
      <selection activeCell="L9" sqref="L9"/>
    </sheetView>
  </sheetViews>
  <sheetFormatPr baseColWidth="10" defaultRowHeight="16" x14ac:dyDescent="0.2"/>
  <cols>
    <col min="1" max="1" width="24.83203125" bestFit="1" customWidth="1"/>
    <col min="2" max="2" width="4.6640625" bestFit="1" customWidth="1"/>
    <col min="3" max="3" width="10.6640625" bestFit="1" customWidth="1"/>
    <col min="4" max="4" width="10.1640625" bestFit="1" customWidth="1"/>
    <col min="5" max="5" width="7" bestFit="1" customWidth="1"/>
    <col min="6" max="6" width="10.6640625" bestFit="1" customWidth="1"/>
    <col min="7" max="7" width="10.33203125" bestFit="1" customWidth="1"/>
    <col min="8" max="8" width="11.5" bestFit="1" customWidth="1"/>
    <col min="9" max="9" width="14" bestFit="1" customWidth="1"/>
  </cols>
  <sheetData>
    <row r="1" spans="1:9" ht="51" x14ac:dyDescent="0.2">
      <c r="A1" s="7" t="s">
        <v>0</v>
      </c>
      <c r="B1" s="7" t="s">
        <v>32</v>
      </c>
      <c r="C1" s="7" t="s">
        <v>1</v>
      </c>
      <c r="D1" s="7" t="s">
        <v>2</v>
      </c>
      <c r="E1" s="7" t="s">
        <v>3</v>
      </c>
      <c r="F1" s="7" t="s">
        <v>33</v>
      </c>
      <c r="G1" s="7" t="s">
        <v>4</v>
      </c>
      <c r="H1" s="7" t="s">
        <v>5</v>
      </c>
      <c r="I1" s="7" t="s">
        <v>31</v>
      </c>
    </row>
    <row r="2" spans="1:9" x14ac:dyDescent="0.2">
      <c r="A2" s="2" t="s">
        <v>6</v>
      </c>
      <c r="B2" s="2" t="s">
        <v>7</v>
      </c>
      <c r="C2" s="1" t="s">
        <v>8</v>
      </c>
      <c r="D2" s="3">
        <v>38788</v>
      </c>
      <c r="E2" s="4">
        <v>12</v>
      </c>
      <c r="F2" s="4" t="s">
        <v>9</v>
      </c>
      <c r="G2" s="13">
        <v>750</v>
      </c>
      <c r="H2" s="5">
        <v>100.1</v>
      </c>
      <c r="I2" s="6">
        <f>Цена*Курс</f>
        <v>75075</v>
      </c>
    </row>
    <row r="3" spans="1:9" x14ac:dyDescent="0.2">
      <c r="A3" s="2" t="s">
        <v>10</v>
      </c>
      <c r="B3" s="2" t="s">
        <v>11</v>
      </c>
      <c r="C3" s="1" t="s">
        <v>12</v>
      </c>
      <c r="D3" s="3">
        <v>38700</v>
      </c>
      <c r="E3" s="4">
        <v>32</v>
      </c>
      <c r="F3" s="4" t="s">
        <v>9</v>
      </c>
      <c r="G3" s="13">
        <v>180</v>
      </c>
      <c r="H3" s="5">
        <v>100.1</v>
      </c>
      <c r="I3" s="6">
        <f t="shared" ref="I3:I16" si="0">G3*H3</f>
        <v>18018</v>
      </c>
    </row>
    <row r="4" spans="1:9" x14ac:dyDescent="0.2">
      <c r="A4" s="2" t="s">
        <v>13</v>
      </c>
      <c r="B4" s="2" t="s">
        <v>14</v>
      </c>
      <c r="C4" s="1" t="s">
        <v>15</v>
      </c>
      <c r="D4" s="3">
        <v>38673</v>
      </c>
      <c r="E4" s="4">
        <v>14</v>
      </c>
      <c r="F4" s="4" t="s">
        <v>9</v>
      </c>
      <c r="G4" s="14">
        <v>523.55999999999995</v>
      </c>
      <c r="H4" s="5">
        <v>116.6</v>
      </c>
      <c r="I4" s="6">
        <f t="shared" si="0"/>
        <v>61047.09599999999</v>
      </c>
    </row>
    <row r="5" spans="1:9" x14ac:dyDescent="0.2">
      <c r="A5" s="2" t="s">
        <v>16</v>
      </c>
      <c r="B5" s="2" t="s">
        <v>17</v>
      </c>
      <c r="C5" s="1" t="s">
        <v>18</v>
      </c>
      <c r="D5" s="3">
        <v>38635</v>
      </c>
      <c r="E5" s="4">
        <v>8</v>
      </c>
      <c r="F5" s="4" t="s">
        <v>9</v>
      </c>
      <c r="G5" s="13">
        <v>250</v>
      </c>
      <c r="H5" s="5">
        <v>100.1</v>
      </c>
      <c r="I5" s="6">
        <f t="shared" si="0"/>
        <v>25025</v>
      </c>
    </row>
    <row r="6" spans="1:9" x14ac:dyDescent="0.2">
      <c r="A6" s="2" t="s">
        <v>19</v>
      </c>
      <c r="B6" s="2" t="s">
        <v>20</v>
      </c>
      <c r="C6" s="1" t="s">
        <v>21</v>
      </c>
      <c r="D6" s="3">
        <v>38751</v>
      </c>
      <c r="E6" s="4">
        <v>7</v>
      </c>
      <c r="F6" s="4" t="s">
        <v>9</v>
      </c>
      <c r="G6" s="13">
        <v>350</v>
      </c>
      <c r="H6" s="5">
        <v>100.1</v>
      </c>
      <c r="I6" s="6">
        <f t="shared" si="0"/>
        <v>35035</v>
      </c>
    </row>
    <row r="7" spans="1:9" x14ac:dyDescent="0.2">
      <c r="A7" s="2" t="s">
        <v>22</v>
      </c>
      <c r="B7" s="2" t="s">
        <v>23</v>
      </c>
      <c r="C7" s="1" t="s">
        <v>15</v>
      </c>
      <c r="D7" s="3">
        <v>38740</v>
      </c>
      <c r="E7" s="4">
        <v>150</v>
      </c>
      <c r="F7" s="4" t="s">
        <v>24</v>
      </c>
      <c r="G7" s="14">
        <v>9.2100000000000009</v>
      </c>
      <c r="H7" s="5">
        <v>116.6</v>
      </c>
      <c r="I7" s="6">
        <f t="shared" si="0"/>
        <v>1073.886</v>
      </c>
    </row>
    <row r="8" spans="1:9" x14ac:dyDescent="0.2">
      <c r="A8" s="2" t="s">
        <v>25</v>
      </c>
      <c r="B8" s="2" t="s">
        <v>26</v>
      </c>
      <c r="C8" s="1" t="s">
        <v>27</v>
      </c>
      <c r="D8" s="3">
        <v>38703</v>
      </c>
      <c r="E8" s="4">
        <v>57</v>
      </c>
      <c r="F8" s="4" t="s">
        <v>9</v>
      </c>
      <c r="G8" s="13">
        <v>197</v>
      </c>
      <c r="H8" s="5">
        <v>100.1</v>
      </c>
      <c r="I8" s="6">
        <f t="shared" si="0"/>
        <v>19719.699999999997</v>
      </c>
    </row>
    <row r="9" spans="1:9" x14ac:dyDescent="0.2">
      <c r="A9" s="2" t="s">
        <v>28</v>
      </c>
      <c r="B9" s="2" t="s">
        <v>29</v>
      </c>
      <c r="C9" s="1" t="s">
        <v>30</v>
      </c>
      <c r="D9" s="3">
        <v>38692</v>
      </c>
      <c r="E9" s="4">
        <v>38</v>
      </c>
      <c r="F9" s="4" t="s">
        <v>9</v>
      </c>
      <c r="G9" s="13">
        <v>65</v>
      </c>
      <c r="H9" s="5">
        <v>100.1</v>
      </c>
      <c r="I9" s="6">
        <f t="shared" si="0"/>
        <v>6506.5</v>
      </c>
    </row>
    <row r="10" spans="1:9" x14ac:dyDescent="0.2">
      <c r="A10" s="10" t="s">
        <v>34</v>
      </c>
      <c r="B10" s="10" t="s">
        <v>35</v>
      </c>
      <c r="C10" s="11" t="s">
        <v>36</v>
      </c>
      <c r="D10" s="9">
        <v>38737</v>
      </c>
      <c r="E10" s="4">
        <v>25</v>
      </c>
      <c r="F10" s="4" t="s">
        <v>9</v>
      </c>
      <c r="G10" s="15">
        <v>420</v>
      </c>
      <c r="H10" s="5">
        <v>100.1</v>
      </c>
      <c r="I10" s="6">
        <f t="shared" si="0"/>
        <v>42042</v>
      </c>
    </row>
    <row r="11" spans="1:9" x14ac:dyDescent="0.2">
      <c r="A11" s="12" t="s">
        <v>37</v>
      </c>
      <c r="B11" s="12" t="s">
        <v>38</v>
      </c>
      <c r="C11" s="4" t="s">
        <v>39</v>
      </c>
      <c r="D11" s="3">
        <v>38753</v>
      </c>
      <c r="E11" s="4">
        <v>18</v>
      </c>
      <c r="F11" s="4" t="s">
        <v>9</v>
      </c>
      <c r="G11" s="15">
        <v>115</v>
      </c>
      <c r="H11" s="5">
        <v>100.1</v>
      </c>
      <c r="I11" s="6">
        <f t="shared" si="0"/>
        <v>11511.5</v>
      </c>
    </row>
    <row r="12" spans="1:9" x14ac:dyDescent="0.2">
      <c r="A12" s="12" t="s">
        <v>40</v>
      </c>
      <c r="B12" s="12" t="s">
        <v>45</v>
      </c>
      <c r="C12" s="4" t="s">
        <v>12</v>
      </c>
      <c r="D12" s="3">
        <v>38760</v>
      </c>
      <c r="E12" s="4">
        <v>9</v>
      </c>
      <c r="F12" s="4" t="s">
        <v>9</v>
      </c>
      <c r="G12" s="13">
        <v>240</v>
      </c>
      <c r="H12" s="5">
        <v>100.1</v>
      </c>
      <c r="I12" s="6">
        <f t="shared" si="0"/>
        <v>24024</v>
      </c>
    </row>
    <row r="13" spans="1:9" x14ac:dyDescent="0.2">
      <c r="A13" s="12" t="s">
        <v>41</v>
      </c>
      <c r="B13" s="12" t="s">
        <v>46</v>
      </c>
      <c r="C13" s="4" t="s">
        <v>27</v>
      </c>
      <c r="D13" s="3">
        <v>38779</v>
      </c>
      <c r="E13" s="4">
        <v>16</v>
      </c>
      <c r="F13" s="4" t="s">
        <v>9</v>
      </c>
      <c r="G13" s="15">
        <v>189</v>
      </c>
      <c r="H13" s="5">
        <v>100.1</v>
      </c>
      <c r="I13" s="6">
        <f t="shared" si="0"/>
        <v>18918.899999999998</v>
      </c>
    </row>
    <row r="14" spans="1:9" x14ac:dyDescent="0.2">
      <c r="A14" s="12" t="s">
        <v>42</v>
      </c>
      <c r="B14" s="12" t="s">
        <v>47</v>
      </c>
      <c r="C14" s="4" t="s">
        <v>15</v>
      </c>
      <c r="D14" s="3">
        <v>38791</v>
      </c>
      <c r="E14" s="4">
        <v>11</v>
      </c>
      <c r="F14" s="4" t="s">
        <v>9</v>
      </c>
      <c r="G14" s="16">
        <v>162</v>
      </c>
      <c r="H14" s="5">
        <v>116.6</v>
      </c>
      <c r="I14" s="6">
        <f t="shared" si="0"/>
        <v>18889.2</v>
      </c>
    </row>
    <row r="15" spans="1:9" x14ac:dyDescent="0.2">
      <c r="A15" s="12" t="s">
        <v>43</v>
      </c>
      <c r="B15" s="12" t="s">
        <v>48</v>
      </c>
      <c r="C15" s="4" t="s">
        <v>18</v>
      </c>
      <c r="D15" s="3">
        <v>38797</v>
      </c>
      <c r="E15" s="4">
        <v>6</v>
      </c>
      <c r="F15" s="4" t="s">
        <v>9</v>
      </c>
      <c r="G15" s="13">
        <v>730</v>
      </c>
      <c r="H15" s="5">
        <v>100.1</v>
      </c>
      <c r="I15" s="6">
        <f t="shared" si="0"/>
        <v>73073</v>
      </c>
    </row>
    <row r="16" spans="1:9" x14ac:dyDescent="0.2">
      <c r="A16" s="12" t="s">
        <v>44</v>
      </c>
      <c r="B16" s="12" t="s">
        <v>49</v>
      </c>
      <c r="C16" s="4" t="s">
        <v>30</v>
      </c>
      <c r="D16" s="3">
        <v>38805</v>
      </c>
      <c r="E16" s="4">
        <v>5</v>
      </c>
      <c r="F16" s="4" t="s">
        <v>9</v>
      </c>
      <c r="G16" s="13">
        <v>410</v>
      </c>
      <c r="H16" s="5">
        <v>100.1</v>
      </c>
      <c r="I16" s="6">
        <f t="shared" si="0"/>
        <v>41041</v>
      </c>
    </row>
  </sheetData>
  <conditionalFormatting sqref="I2:I16">
    <cfRule type="cellIs" dxfId="2" priority="1" operator="greaterThanOrEqual">
      <formula>10000</formula>
    </cfRule>
    <cfRule type="cellIs" dxfId="1" priority="2" operator="between">
      <formula>5000</formula>
      <formula>10000</formula>
    </cfRule>
    <cfRule type="cellIs" dxfId="0" priority="3" operator="lessThanOrEqual">
      <formula>"5000$M$10"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Продажи</vt:lpstr>
      <vt:lpstr>Продажи 2</vt:lpstr>
      <vt:lpstr>Курс</vt:lpstr>
      <vt:lpstr>Цена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2025-12-07T18:29:04Z</dcterms:created>
  <dcterms:modified xsi:type="dcterms:W3CDTF">2025-12-07T19:48:27Z</dcterms:modified>
</cp:coreProperties>
</file>