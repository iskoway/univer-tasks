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13_ncr:1_{DE5A5E34-B0B5-7C46-B085-7CE7907D80CC}" xr6:coauthVersionLast="47" xr6:coauthVersionMax="47" xr10:uidLastSave="{00000000-0000-0000-0000-000000000000}"/>
  <bookViews>
    <workbookView xWindow="0" yWindow="860" windowWidth="36000" windowHeight="22520" xr2:uid="{E46A1A7E-C16D-BB40-8BA3-B70DA6E3B5BE}"/>
  </bookViews>
  <sheets>
    <sheet name="Ведомость зарплаты" sheetId="1" r:id="rId1"/>
  </sheets>
  <definedNames>
    <definedName name="_xlchart.v1.0" hidden="1">'Ведомость зарплаты'!$B$5:$B$19</definedName>
    <definedName name="_xlchart.v1.1" hidden="1">'Ведомость зарплаты'!$K$5:$K$19</definedName>
    <definedName name="_xlchart.v2.2" hidden="1">'Ведомость зарплаты'!$B$5:$B$19</definedName>
    <definedName name="_xlchart.v2.3" hidden="1">'Ведомость зарплаты'!$K$5:$K$19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9" i="1"/>
  <c r="I10" i="1"/>
  <c r="I11" i="1"/>
  <c r="I12" i="1"/>
  <c r="I13" i="1"/>
  <c r="I14" i="1"/>
  <c r="I15" i="1"/>
  <c r="I16" i="1"/>
  <c r="I17" i="1"/>
  <c r="I18" i="1"/>
  <c r="F6" i="1"/>
  <c r="G6" i="1" s="1"/>
  <c r="H6" i="1" s="1"/>
  <c r="I6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G19" i="1" s="1"/>
  <c r="H19" i="1" s="1"/>
  <c r="I19" i="1" s="1"/>
  <c r="F5" i="1"/>
  <c r="G5" i="1" s="1"/>
  <c r="H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5" i="1"/>
  <c r="G18" i="1"/>
  <c r="H18" i="1" s="1"/>
  <c r="G13" i="1"/>
  <c r="H13" i="1" s="1"/>
  <c r="G12" i="1"/>
  <c r="H12" i="1" s="1"/>
  <c r="G11" i="1"/>
  <c r="H11" i="1" s="1"/>
  <c r="G8" i="1"/>
  <c r="H8" i="1" s="1"/>
  <c r="I8" i="1" s="1"/>
  <c r="G7" i="1"/>
  <c r="H7" i="1" s="1"/>
  <c r="I5" i="1" l="1"/>
  <c r="J5" i="1" s="1"/>
  <c r="K5" i="1" s="1"/>
  <c r="G15" i="1"/>
  <c r="H15" i="1" s="1"/>
  <c r="G14" i="1"/>
  <c r="H14" i="1" s="1"/>
  <c r="G9" i="1"/>
  <c r="H9" i="1" s="1"/>
  <c r="G16" i="1"/>
  <c r="H16" i="1" s="1"/>
  <c r="G17" i="1"/>
  <c r="H17" i="1" s="1"/>
  <c r="J17" i="1" s="1"/>
  <c r="K17" i="1" s="1"/>
  <c r="G10" i="1"/>
  <c r="H10" i="1" s="1"/>
  <c r="J9" i="1"/>
  <c r="K9" i="1" s="1"/>
  <c r="J14" i="1"/>
  <c r="K14" i="1" s="1"/>
  <c r="J16" i="1"/>
  <c r="K16" i="1" s="1"/>
  <c r="J12" i="1"/>
  <c r="K12" i="1" s="1"/>
  <c r="J15" i="1"/>
  <c r="K15" i="1" s="1"/>
  <c r="J6" i="1"/>
  <c r="K6" i="1" s="1"/>
  <c r="J18" i="1"/>
  <c r="K18" i="1" s="1"/>
  <c r="J8" i="1"/>
  <c r="K8" i="1" s="1"/>
  <c r="J11" i="1"/>
  <c r="K11" i="1" s="1"/>
  <c r="J13" i="1"/>
  <c r="K13" i="1" s="1"/>
  <c r="J7" i="1"/>
  <c r="K7" i="1" s="1"/>
  <c r="J19" i="1"/>
  <c r="K19" i="1" s="1"/>
  <c r="K20" i="1" l="1"/>
  <c r="J10" i="1"/>
  <c r="K10" i="1" s="1"/>
</calcChain>
</file>

<file path=xl/sharedStrings.xml><?xml version="1.0" encoding="utf-8"?>
<sst xmlns="http://schemas.openxmlformats.org/spreadsheetml/2006/main" count="43" uniqueCount="33">
  <si>
    <t>РАСЧЕТ ЗАРАБОТНОЙ ПЛАТЫ СОТРУДНИКОВ НАУЧНО-ПРОЕКТНОГО ОТДЕЛА</t>
  </si>
  <si>
    <t>№ п/п</t>
  </si>
  <si>
    <t>ФАМИЛИЯ И.О</t>
  </si>
  <si>
    <t>ДОЛЖНОСТЬ</t>
  </si>
  <si>
    <t>ТАРИФНАЯ СТАВКА</t>
  </si>
  <si>
    <t>СТАЖ</t>
  </si>
  <si>
    <t>k</t>
  </si>
  <si>
    <t>НАДБАВКА ЗА СТАЖ</t>
  </si>
  <si>
    <t>ИТОГО</t>
  </si>
  <si>
    <t>ПРОЦЕНТ НАЛОГА</t>
  </si>
  <si>
    <t>СУММА НАЛОГА</t>
  </si>
  <si>
    <t>ВЫПЛАТА</t>
  </si>
  <si>
    <t>Антонов Р.И</t>
  </si>
  <si>
    <t>лаборант</t>
  </si>
  <si>
    <t>Борисов И.П</t>
  </si>
  <si>
    <t>инженер</t>
  </si>
  <si>
    <t>Вольская О.А</t>
  </si>
  <si>
    <t>мл.н.сотрудник</t>
  </si>
  <si>
    <t>Иванов В.А</t>
  </si>
  <si>
    <t>Комаров Н.И</t>
  </si>
  <si>
    <t>ст.н.сотрудник</t>
  </si>
  <si>
    <t>Крючков Н.Р</t>
  </si>
  <si>
    <t>Новиков Л.Д</t>
  </si>
  <si>
    <t>Огараев Н.И</t>
  </si>
  <si>
    <t>Петров К.О</t>
  </si>
  <si>
    <t>зав.лабораторией</t>
  </si>
  <si>
    <t>Реутова Е.Г</t>
  </si>
  <si>
    <t>Сидоров И.Н</t>
  </si>
  <si>
    <t>Степаненко В.Д</t>
  </si>
  <si>
    <t>Тимофеев Н.Н</t>
  </si>
  <si>
    <t>Уткина Е.В</t>
  </si>
  <si>
    <t>Федоров А.Н</t>
  </si>
  <si>
    <t>ИТОГО К ВЫДАЧЕ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</si>
</sst>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сом&quot;_-;\-* #,##0.00\ &quot;сом&quot;_-;_-* &quot;-&quot;??\ &quot;сом&quot;_-;_-@_-"/>
  </numFmts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/>
    <xf numFmtId="0" fontId="3" fillId="0" borderId="9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right" vertical="center"/>
    </xf>
    <xf numFmtId="44" fontId="4" fillId="0" borderId="9" xfId="1" applyFont="1" applyBorder="1"/>
    <xf numFmtId="0" fontId="2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3" fillId="0" borderId="2" xfId="0" applyFont="1" applyBorder="1"/>
    <xf numFmtId="44" fontId="4" fillId="0" borderId="2" xfId="1" applyFont="1" applyFill="1" applyBorder="1"/>
    <xf numFmtId="9" fontId="4" fillId="0" borderId="9" xfId="2" applyFont="1" applyBorder="1"/>
    <xf numFmtId="44" fontId="4" fillId="0" borderId="9" xfId="0" applyNumberFormat="1" applyFont="1" applyBorder="1"/>
    <xf numFmtId="0" fontId="4" fillId="2" borderId="9" xfId="0" applyFont="1" applyFill="1" applyBorder="1" applyAlignment="1">
      <alignment horizont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7">
    <dxf>
      <fill>
        <patternFill>
          <bgColor theme="6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Сравнительная</a:t>
            </a:r>
            <a:r>
              <a:rPr lang="ru-RU" baseline="0"/>
              <a:t> диаграмма заработной платы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K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'Ведомость зарплаты'!$B$5:$B$19</c:f>
              <c:strCache>
                <c:ptCount val="15"/>
                <c:pt idx="0">
                  <c:v>Антонов Р.И</c:v>
                </c:pt>
                <c:pt idx="1">
                  <c:v>Борисов И.П</c:v>
                </c:pt>
                <c:pt idx="2">
                  <c:v>Вольская О.А</c:v>
                </c:pt>
                <c:pt idx="3">
                  <c:v>Иванов В.А</c:v>
                </c:pt>
                <c:pt idx="4">
                  <c:v>Комаров Н.И</c:v>
                </c:pt>
                <c:pt idx="5">
                  <c:v>Крючков Н.Р</c:v>
                </c:pt>
                <c:pt idx="6">
                  <c:v>Новиков Л.Д</c:v>
                </c:pt>
                <c:pt idx="7">
                  <c:v>Огараев Н.И</c:v>
                </c:pt>
                <c:pt idx="8">
                  <c:v>Петров К.О</c:v>
                </c:pt>
                <c:pt idx="9">
                  <c:v>Реутова Е.Г</c:v>
                </c:pt>
                <c:pt idx="10">
                  <c:v>Сидоров И.Н</c:v>
                </c:pt>
                <c:pt idx="11">
                  <c:v>Степаненко В.Д</c:v>
                </c:pt>
                <c:pt idx="12">
                  <c:v>Тимофеев Н.Н</c:v>
                </c:pt>
                <c:pt idx="13">
                  <c:v>Уткина Е.В</c:v>
                </c:pt>
                <c:pt idx="14">
                  <c:v>Федоров А.Н</c:v>
                </c:pt>
              </c:strCache>
            </c:strRef>
          </c:cat>
          <c:val>
            <c:numRef>
              <c:f>'Ведомость зарплаты'!$K$5:$K$19</c:f>
              <c:numCache>
                <c:formatCode>_("сом"* #,##0.00_);_("сом"* \(#,##0.00\);_("сом"* "-"??_);_(@_)</c:formatCode>
                <c:ptCount val="15"/>
                <c:pt idx="0">
                  <c:v>15858.04</c:v>
                </c:pt>
                <c:pt idx="1">
                  <c:v>28514.25</c:v>
                </c:pt>
                <c:pt idx="2">
                  <c:v>26303.95</c:v>
                </c:pt>
                <c:pt idx="3">
                  <c:v>15858.04</c:v>
                </c:pt>
                <c:pt idx="4">
                  <c:v>32818.5</c:v>
                </c:pt>
                <c:pt idx="5">
                  <c:v>29714.85</c:v>
                </c:pt>
                <c:pt idx="6">
                  <c:v>26830.799999999999</c:v>
                </c:pt>
                <c:pt idx="7">
                  <c:v>25160.3</c:v>
                </c:pt>
                <c:pt idx="8">
                  <c:v>32130</c:v>
                </c:pt>
                <c:pt idx="9">
                  <c:v>31556.25</c:v>
                </c:pt>
                <c:pt idx="10">
                  <c:v>28514.25</c:v>
                </c:pt>
                <c:pt idx="11">
                  <c:v>17299.68</c:v>
                </c:pt>
                <c:pt idx="12">
                  <c:v>29714.85</c:v>
                </c:pt>
                <c:pt idx="13">
                  <c:v>25160.3</c:v>
                </c:pt>
                <c:pt idx="14">
                  <c:v>30281.25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A-374B-825A-17EA27B575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106333232"/>
        <c:axId val="1647748479"/>
      </c:barChart>
      <c:catAx>
        <c:axId val="110633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647748479"/>
        <c:crosses val="autoZero"/>
        <c:auto val="1"/>
        <c:lblAlgn val="ctr"/>
        <c:lblOffset val="100"/>
        <c:noMultiLvlLbl val="0"/>
      </c:catAx>
      <c:valAx>
        <c:axId val="16477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сом&quot;* #,##0.00_);_(&quot;сом&quot;* \(#,##0.00\);_(&quot;сом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10633323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21</xdr:row>
      <xdr:rowOff>19050</xdr:rowOff>
    </xdr:from>
    <xdr:to>
      <xdr:col>15</xdr:col>
      <xdr:colOff>266700</xdr:colOff>
      <xdr:row>42</xdr:row>
      <xdr:rowOff>25400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FA0673D-A7F1-0FC0-7A7D-E75DAB83C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4D9D-E0FF-7E43-B807-F4DEBF770AEA}">
  <dimension ref="A1:K21"/>
  <sheetViews>
    <sheetView tabSelected="1" workbookViewId="0">
      <selection activeCell="O16" sqref="O16"/>
    </sheetView>
  </sheetViews>
  <sheetFormatPr baseColWidth="10" defaultRowHeight="16" x14ac:dyDescent="0.2"/>
  <cols>
    <col min="1" max="1" width="4.5" customWidth="1"/>
    <col min="2" max="2" width="14.33203125" customWidth="1"/>
    <col min="3" max="3" width="16.6640625" customWidth="1"/>
    <col min="4" max="4" width="14" bestFit="1" customWidth="1"/>
    <col min="7" max="7" width="13" bestFit="1" customWidth="1"/>
    <col min="8" max="8" width="14" bestFit="1" customWidth="1"/>
    <col min="10" max="10" width="13" bestFit="1" customWidth="1"/>
    <col min="11" max="11" width="15" bestFit="1" customWidth="1"/>
  </cols>
  <sheetData>
    <row r="1" spans="1:1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2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2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34" x14ac:dyDescent="0.2">
      <c r="A4" s="12" t="s">
        <v>1</v>
      </c>
      <c r="B4" s="14" t="s">
        <v>2</v>
      </c>
      <c r="C4" s="14" t="s">
        <v>3</v>
      </c>
      <c r="D4" s="12" t="s">
        <v>4</v>
      </c>
      <c r="E4" s="12" t="s">
        <v>5</v>
      </c>
      <c r="F4" s="12" t="s">
        <v>6</v>
      </c>
      <c r="G4" s="13" t="s">
        <v>7</v>
      </c>
      <c r="H4" s="12" t="s">
        <v>8</v>
      </c>
      <c r="I4" s="14" t="s">
        <v>9</v>
      </c>
      <c r="J4" s="13" t="s">
        <v>10</v>
      </c>
      <c r="K4" s="14" t="s">
        <v>11</v>
      </c>
    </row>
    <row r="5" spans="1:11" x14ac:dyDescent="0.2">
      <c r="A5" s="15">
        <v>1</v>
      </c>
      <c r="B5" s="11" t="s">
        <v>12</v>
      </c>
      <c r="C5" s="11" t="s">
        <v>13</v>
      </c>
      <c r="D5" s="16">
        <f>IF(C5="лаборант",15670,IF(C5="инженер",28500,IF(C5="мл.н.сотрудник",25700,IF(C5="ст.н.сотрудник",29700,IF(C5="зав.лабораторией",31500)))))</f>
        <v>15670</v>
      </c>
      <c r="E5" s="25">
        <v>2</v>
      </c>
      <c r="F5" s="10">
        <f>IF(E5&lt;=5,0.1,IF(E5&lt;=7,0.15,IF(E5&lt;=10,0.2,IF(E5&lt;=15,0.25,0.3))))</f>
        <v>0.1</v>
      </c>
      <c r="G5" s="16">
        <f>D5*F5</f>
        <v>1567</v>
      </c>
      <c r="H5" s="16">
        <f>D5+G5</f>
        <v>17237</v>
      </c>
      <c r="I5" s="23">
        <f>IF(H5&lt;=20000,0.08,IF(H5&lt;=30000,0.11,IF(H5&lt;=35000,0.13,0.15)))</f>
        <v>0.08</v>
      </c>
      <c r="J5" s="16">
        <f>H5*I5</f>
        <v>1378.96</v>
      </c>
      <c r="K5" s="16">
        <f>H5-J5</f>
        <v>15858.04</v>
      </c>
    </row>
    <row r="6" spans="1:11" x14ac:dyDescent="0.2">
      <c r="A6" s="15">
        <v>2</v>
      </c>
      <c r="B6" s="11" t="s">
        <v>14</v>
      </c>
      <c r="C6" s="11" t="s">
        <v>15</v>
      </c>
      <c r="D6" s="16">
        <f t="shared" ref="D6:D19" si="0">IF(C6="лаборант",15670,IF(C6="инженер",28500,IF(C6="мл.н.сотрудник",25700,IF(C6="ст.н.сотрудник",29700,IF(C6="зав.лабораторией",31500)))))</f>
        <v>28500</v>
      </c>
      <c r="E6" s="25">
        <v>6</v>
      </c>
      <c r="F6" s="10">
        <f t="shared" ref="F6:F19" si="1">IF(E6&lt;=5,0.1,IF(E6&lt;=7,0.15,IF(E6&lt;=10,0.2,IF(E6&lt;=15,0.25,0.3))))</f>
        <v>0.15</v>
      </c>
      <c r="G6" s="16">
        <f t="shared" ref="G6:G18" si="2">D6*F6</f>
        <v>4275</v>
      </c>
      <c r="H6" s="16">
        <f t="shared" ref="H6:H19" si="3">D6+G6</f>
        <v>32775</v>
      </c>
      <c r="I6" s="23">
        <f t="shared" ref="I6:I19" si="4">IF(H6&lt;=20000,0.08,IF(H6&lt;=30000,0.11,IF(H6&lt;=35000,0.13,0.15)))</f>
        <v>0.13</v>
      </c>
      <c r="J6" s="16">
        <f t="shared" ref="J6:J19" si="5">H6*I6</f>
        <v>4260.75</v>
      </c>
      <c r="K6" s="16">
        <f t="shared" ref="K6:K19" si="6">H6-J6</f>
        <v>28514.25</v>
      </c>
    </row>
    <row r="7" spans="1:11" x14ac:dyDescent="0.2">
      <c r="A7" s="15">
        <v>3</v>
      </c>
      <c r="B7" s="11" t="s">
        <v>16</v>
      </c>
      <c r="C7" s="11" t="s">
        <v>17</v>
      </c>
      <c r="D7" s="16">
        <f t="shared" si="0"/>
        <v>25700</v>
      </c>
      <c r="E7" s="25">
        <v>7</v>
      </c>
      <c r="F7" s="10">
        <f t="shared" si="1"/>
        <v>0.15</v>
      </c>
      <c r="G7" s="16">
        <f t="shared" si="2"/>
        <v>3855</v>
      </c>
      <c r="H7" s="16">
        <f t="shared" si="3"/>
        <v>29555</v>
      </c>
      <c r="I7" s="23">
        <f t="shared" si="4"/>
        <v>0.11</v>
      </c>
      <c r="J7" s="16">
        <f t="shared" si="5"/>
        <v>3251.05</v>
      </c>
      <c r="K7" s="16">
        <f t="shared" si="6"/>
        <v>26303.95</v>
      </c>
    </row>
    <row r="8" spans="1:11" x14ac:dyDescent="0.2">
      <c r="A8" s="15">
        <v>4</v>
      </c>
      <c r="B8" s="11" t="s">
        <v>18</v>
      </c>
      <c r="C8" s="11" t="s">
        <v>13</v>
      </c>
      <c r="D8" s="16">
        <f t="shared" si="0"/>
        <v>15670</v>
      </c>
      <c r="E8" s="25">
        <v>4</v>
      </c>
      <c r="F8" s="10">
        <f t="shared" si="1"/>
        <v>0.1</v>
      </c>
      <c r="G8" s="16">
        <f t="shared" si="2"/>
        <v>1567</v>
      </c>
      <c r="H8" s="16">
        <f t="shared" si="3"/>
        <v>17237</v>
      </c>
      <c r="I8" s="23">
        <f t="shared" si="4"/>
        <v>0.08</v>
      </c>
      <c r="J8" s="16">
        <f t="shared" si="5"/>
        <v>1378.96</v>
      </c>
      <c r="K8" s="16">
        <f t="shared" si="6"/>
        <v>15858.04</v>
      </c>
    </row>
    <row r="9" spans="1:11" x14ac:dyDescent="0.2">
      <c r="A9" s="15">
        <v>5</v>
      </c>
      <c r="B9" s="11" t="s">
        <v>19</v>
      </c>
      <c r="C9" s="11" t="s">
        <v>20</v>
      </c>
      <c r="D9" s="16">
        <f t="shared" si="0"/>
        <v>29700</v>
      </c>
      <c r="E9" s="25">
        <v>16</v>
      </c>
      <c r="F9" s="10">
        <f t="shared" si="1"/>
        <v>0.3</v>
      </c>
      <c r="G9" s="16">
        <f t="shared" si="2"/>
        <v>8910</v>
      </c>
      <c r="H9" s="16">
        <f t="shared" si="3"/>
        <v>38610</v>
      </c>
      <c r="I9" s="23">
        <f t="shared" si="4"/>
        <v>0.15</v>
      </c>
      <c r="J9" s="16">
        <f t="shared" si="5"/>
        <v>5791.5</v>
      </c>
      <c r="K9" s="16">
        <f t="shared" si="6"/>
        <v>32818.5</v>
      </c>
    </row>
    <row r="10" spans="1:11" x14ac:dyDescent="0.2">
      <c r="A10" s="15">
        <v>6</v>
      </c>
      <c r="B10" s="11" t="s">
        <v>21</v>
      </c>
      <c r="C10" s="11" t="s">
        <v>20</v>
      </c>
      <c r="D10" s="16">
        <f t="shared" si="0"/>
        <v>29700</v>
      </c>
      <c r="E10" s="25">
        <v>7</v>
      </c>
      <c r="F10" s="10">
        <f t="shared" si="1"/>
        <v>0.15</v>
      </c>
      <c r="G10" s="16">
        <f t="shared" si="2"/>
        <v>4455</v>
      </c>
      <c r="H10" s="16">
        <f t="shared" si="3"/>
        <v>34155</v>
      </c>
      <c r="I10" s="23">
        <f t="shared" si="4"/>
        <v>0.13</v>
      </c>
      <c r="J10" s="16">
        <f t="shared" si="5"/>
        <v>4440.1500000000005</v>
      </c>
      <c r="K10" s="16">
        <f t="shared" si="6"/>
        <v>29714.85</v>
      </c>
    </row>
    <row r="11" spans="1:11" x14ac:dyDescent="0.2">
      <c r="A11" s="15">
        <v>7</v>
      </c>
      <c r="B11" s="11" t="s">
        <v>22</v>
      </c>
      <c r="C11" s="11" t="s">
        <v>17</v>
      </c>
      <c r="D11" s="16">
        <f t="shared" si="0"/>
        <v>25700</v>
      </c>
      <c r="E11" s="25">
        <v>8</v>
      </c>
      <c r="F11" s="10">
        <f t="shared" si="1"/>
        <v>0.2</v>
      </c>
      <c r="G11" s="16">
        <f t="shared" si="2"/>
        <v>5140</v>
      </c>
      <c r="H11" s="16">
        <f t="shared" si="3"/>
        <v>30840</v>
      </c>
      <c r="I11" s="23">
        <f t="shared" si="4"/>
        <v>0.13</v>
      </c>
      <c r="J11" s="16">
        <f t="shared" si="5"/>
        <v>4009.2000000000003</v>
      </c>
      <c r="K11" s="16">
        <f t="shared" si="6"/>
        <v>26830.799999999999</v>
      </c>
    </row>
    <row r="12" spans="1:11" x14ac:dyDescent="0.2">
      <c r="A12" s="15">
        <v>8</v>
      </c>
      <c r="B12" s="11" t="s">
        <v>23</v>
      </c>
      <c r="C12" s="11" t="s">
        <v>17</v>
      </c>
      <c r="D12" s="16">
        <f t="shared" si="0"/>
        <v>25700</v>
      </c>
      <c r="E12" s="25">
        <v>3</v>
      </c>
      <c r="F12" s="10">
        <f t="shared" si="1"/>
        <v>0.1</v>
      </c>
      <c r="G12" s="16">
        <f t="shared" si="2"/>
        <v>2570</v>
      </c>
      <c r="H12" s="16">
        <f t="shared" si="3"/>
        <v>28270</v>
      </c>
      <c r="I12" s="23">
        <f t="shared" si="4"/>
        <v>0.11</v>
      </c>
      <c r="J12" s="16">
        <f t="shared" si="5"/>
        <v>3109.7</v>
      </c>
      <c r="K12" s="16">
        <f t="shared" si="6"/>
        <v>25160.3</v>
      </c>
    </row>
    <row r="13" spans="1:11" x14ac:dyDescent="0.2">
      <c r="A13" s="15">
        <v>9</v>
      </c>
      <c r="B13" s="11" t="s">
        <v>24</v>
      </c>
      <c r="C13" s="11" t="s">
        <v>25</v>
      </c>
      <c r="D13" s="16">
        <f t="shared" si="0"/>
        <v>31500</v>
      </c>
      <c r="E13" s="25">
        <v>10</v>
      </c>
      <c r="F13" s="10">
        <f t="shared" si="1"/>
        <v>0.2</v>
      </c>
      <c r="G13" s="16">
        <f t="shared" si="2"/>
        <v>6300</v>
      </c>
      <c r="H13" s="16">
        <f t="shared" si="3"/>
        <v>37800</v>
      </c>
      <c r="I13" s="23">
        <f t="shared" si="4"/>
        <v>0.15</v>
      </c>
      <c r="J13" s="16">
        <f t="shared" si="5"/>
        <v>5670</v>
      </c>
      <c r="K13" s="16">
        <f t="shared" si="6"/>
        <v>32130</v>
      </c>
    </row>
    <row r="14" spans="1:11" x14ac:dyDescent="0.2">
      <c r="A14" s="15">
        <v>10</v>
      </c>
      <c r="B14" s="11" t="s">
        <v>26</v>
      </c>
      <c r="C14" s="11" t="s">
        <v>20</v>
      </c>
      <c r="D14" s="16">
        <f t="shared" si="0"/>
        <v>29700</v>
      </c>
      <c r="E14" s="25">
        <v>12</v>
      </c>
      <c r="F14" s="10">
        <f t="shared" si="1"/>
        <v>0.25</v>
      </c>
      <c r="G14" s="16">
        <f t="shared" si="2"/>
        <v>7425</v>
      </c>
      <c r="H14" s="16">
        <f t="shared" si="3"/>
        <v>37125</v>
      </c>
      <c r="I14" s="23">
        <f t="shared" si="4"/>
        <v>0.15</v>
      </c>
      <c r="J14" s="16">
        <f t="shared" si="5"/>
        <v>5568.75</v>
      </c>
      <c r="K14" s="16">
        <f t="shared" si="6"/>
        <v>31556.25</v>
      </c>
    </row>
    <row r="15" spans="1:11" x14ac:dyDescent="0.2">
      <c r="A15" s="15">
        <v>11</v>
      </c>
      <c r="B15" s="11" t="s">
        <v>27</v>
      </c>
      <c r="C15" s="11" t="s">
        <v>15</v>
      </c>
      <c r="D15" s="16">
        <f t="shared" si="0"/>
        <v>28500</v>
      </c>
      <c r="E15" s="25">
        <v>6</v>
      </c>
      <c r="F15" s="10">
        <f t="shared" si="1"/>
        <v>0.15</v>
      </c>
      <c r="G15" s="16">
        <f t="shared" si="2"/>
        <v>4275</v>
      </c>
      <c r="H15" s="16">
        <f t="shared" si="3"/>
        <v>32775</v>
      </c>
      <c r="I15" s="23">
        <f t="shared" si="4"/>
        <v>0.13</v>
      </c>
      <c r="J15" s="16">
        <f t="shared" si="5"/>
        <v>4260.75</v>
      </c>
      <c r="K15" s="16">
        <f t="shared" si="6"/>
        <v>28514.25</v>
      </c>
    </row>
    <row r="16" spans="1:11" x14ac:dyDescent="0.2">
      <c r="A16" s="15">
        <v>12</v>
      </c>
      <c r="B16" s="11" t="s">
        <v>28</v>
      </c>
      <c r="C16" s="11" t="s">
        <v>13</v>
      </c>
      <c r="D16" s="16">
        <f t="shared" si="0"/>
        <v>15670</v>
      </c>
      <c r="E16" s="25">
        <v>8</v>
      </c>
      <c r="F16" s="10">
        <f t="shared" si="1"/>
        <v>0.2</v>
      </c>
      <c r="G16" s="16">
        <f t="shared" si="2"/>
        <v>3134</v>
      </c>
      <c r="H16" s="16">
        <f t="shared" si="3"/>
        <v>18804</v>
      </c>
      <c r="I16" s="23">
        <f t="shared" si="4"/>
        <v>0.08</v>
      </c>
      <c r="J16" s="16">
        <f t="shared" si="5"/>
        <v>1504.32</v>
      </c>
      <c r="K16" s="16">
        <f t="shared" si="6"/>
        <v>17299.68</v>
      </c>
    </row>
    <row r="17" spans="1:11" x14ac:dyDescent="0.2">
      <c r="A17" s="15">
        <v>13</v>
      </c>
      <c r="B17" s="11" t="s">
        <v>29</v>
      </c>
      <c r="C17" s="11" t="s">
        <v>20</v>
      </c>
      <c r="D17" s="16">
        <f t="shared" si="0"/>
        <v>29700</v>
      </c>
      <c r="E17" s="25">
        <v>7</v>
      </c>
      <c r="F17" s="10">
        <f t="shared" si="1"/>
        <v>0.15</v>
      </c>
      <c r="G17" s="16">
        <f t="shared" si="2"/>
        <v>4455</v>
      </c>
      <c r="H17" s="16">
        <f t="shared" si="3"/>
        <v>34155</v>
      </c>
      <c r="I17" s="23">
        <f t="shared" si="4"/>
        <v>0.13</v>
      </c>
      <c r="J17" s="16">
        <f t="shared" si="5"/>
        <v>4440.1500000000005</v>
      </c>
      <c r="K17" s="16">
        <f t="shared" si="6"/>
        <v>29714.85</v>
      </c>
    </row>
    <row r="18" spans="1:11" x14ac:dyDescent="0.2">
      <c r="A18" s="15">
        <v>14</v>
      </c>
      <c r="B18" s="11" t="s">
        <v>30</v>
      </c>
      <c r="C18" s="11" t="s">
        <v>17</v>
      </c>
      <c r="D18" s="16">
        <f t="shared" si="0"/>
        <v>25700</v>
      </c>
      <c r="E18" s="25">
        <v>2</v>
      </c>
      <c r="F18" s="10">
        <f t="shared" si="1"/>
        <v>0.1</v>
      </c>
      <c r="G18" s="16">
        <f t="shared" si="2"/>
        <v>2570</v>
      </c>
      <c r="H18" s="16">
        <f t="shared" si="3"/>
        <v>28270</v>
      </c>
      <c r="I18" s="23">
        <f t="shared" si="4"/>
        <v>0.11</v>
      </c>
      <c r="J18" s="16">
        <f t="shared" si="5"/>
        <v>3109.7</v>
      </c>
      <c r="K18" s="16">
        <f t="shared" si="6"/>
        <v>25160.3</v>
      </c>
    </row>
    <row r="19" spans="1:11" x14ac:dyDescent="0.2">
      <c r="A19" s="15">
        <v>15</v>
      </c>
      <c r="B19" s="11" t="s">
        <v>31</v>
      </c>
      <c r="C19" s="11" t="s">
        <v>15</v>
      </c>
      <c r="D19" s="16">
        <f t="shared" si="0"/>
        <v>28500</v>
      </c>
      <c r="E19" s="25">
        <v>14</v>
      </c>
      <c r="F19" s="10">
        <f t="shared" si="1"/>
        <v>0.25</v>
      </c>
      <c r="G19" s="16">
        <f>D19*F19</f>
        <v>7125</v>
      </c>
      <c r="H19" s="16">
        <f t="shared" si="3"/>
        <v>35625</v>
      </c>
      <c r="I19" s="23">
        <f t="shared" si="4"/>
        <v>0.15</v>
      </c>
      <c r="J19" s="16">
        <f t="shared" si="5"/>
        <v>5343.75</v>
      </c>
      <c r="K19" s="16">
        <f t="shared" si="6"/>
        <v>30281.25</v>
      </c>
    </row>
    <row r="20" spans="1:11" x14ac:dyDescent="0.2">
      <c r="A20" s="17" t="s">
        <v>32</v>
      </c>
      <c r="B20" s="18"/>
      <c r="C20" s="20"/>
      <c r="D20" s="20"/>
      <c r="E20" s="18"/>
      <c r="F20" s="18"/>
      <c r="G20" s="18"/>
      <c r="H20" s="18"/>
      <c r="I20" s="18"/>
      <c r="J20" s="19"/>
      <c r="K20" s="24">
        <f>SUM(K5:K19)</f>
        <v>395715.30999999994</v>
      </c>
    </row>
    <row r="21" spans="1:11" x14ac:dyDescent="0.2">
      <c r="C21" s="21"/>
      <c r="D21" s="22"/>
    </row>
  </sheetData>
  <mergeCells count="2">
    <mergeCell ref="A1:K3"/>
    <mergeCell ref="A20:J20"/>
  </mergeCells>
  <conditionalFormatting sqref="E5:E19">
    <cfRule type="cellIs" dxfId="3" priority="3" operator="lessThanOrEqual">
      <formula>5</formula>
    </cfRule>
    <cfRule type="cellIs" dxfId="4" priority="2" operator="between">
      <formula>5</formula>
      <formula>10</formula>
    </cfRule>
    <cfRule type="cellIs" dxfId="2" priority="1" operator="between">
      <formula>10</formula>
      <formula>15</formula>
    </cfRule>
  </conditionalFormatting>
  <dataValidations count="2">
    <dataValidation type="whole" operator="greaterThan" allowBlank="1" showInputMessage="1" showErrorMessage="1" error="СТАЖ НЕ МОЖЕТ БЫТЬ ОТРИЦАТЕЛЬНЫМ!" sqref="E5:E19" xr:uid="{27CBFC7D-9F7C-8244-B1CF-A0BFBD83DA2F}">
      <formula1>0</formula1>
    </dataValidation>
    <dataValidation allowBlank="1" showInputMessage="1" showErrorMessage="1" promptTitle="Тарифная ставка" prompt="БУДЬТЕ ВНИМАТЕЛЬНЫ ПРИ ВВОДЕ ТАРИФНОЙ СТАВКИ!" sqref="D5:D19" xr:uid="{81FAAFF7-0109-BD4C-8D12-DB7E2A2679E7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Ведомость зарплаты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2025-12-07T17:32:50Z</dcterms:created>
  <dcterms:modified xsi:type="dcterms:W3CDTF">2025-12-07T18:27:42Z</dcterms:modified>
</cp:coreProperties>
</file>