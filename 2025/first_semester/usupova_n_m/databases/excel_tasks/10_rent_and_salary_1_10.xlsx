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kenderkanimetov/Downloads/"/>
    </mc:Choice>
  </mc:AlternateContent>
  <xr:revisionPtr revIDLastSave="0" documentId="8_{BC3548C6-F6E0-7F4B-A73C-3848B4EDA3D5}" xr6:coauthVersionLast="47" xr6:coauthVersionMax="47" xr10:uidLastSave="{00000000-0000-0000-0000-000000000000}"/>
  <bookViews>
    <workbookView xWindow="0" yWindow="860" windowWidth="36000" windowHeight="22520" xr2:uid="{C84F24D2-9E64-B744-9941-969B40EC1CF7}"/>
  </bookViews>
  <sheets>
    <sheet name="Квартплата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E16" i="1"/>
  <c r="D16" i="1"/>
  <c r="C16" i="1"/>
  <c r="B16" i="1"/>
  <c r="I15" i="1"/>
  <c r="H15" i="1"/>
  <c r="J15" i="1" s="1"/>
  <c r="G15" i="1"/>
  <c r="I14" i="1"/>
  <c r="H14" i="1"/>
  <c r="G14" i="1"/>
  <c r="J14" i="1" s="1"/>
  <c r="I13" i="1"/>
  <c r="H13" i="1"/>
  <c r="G13" i="1"/>
  <c r="J13" i="1" s="1"/>
  <c r="I12" i="1"/>
  <c r="H12" i="1"/>
  <c r="J12" i="1" s="1"/>
  <c r="G12" i="1"/>
  <c r="I11" i="1"/>
  <c r="I16" i="1" s="1"/>
  <c r="H11" i="1"/>
  <c r="H16" i="1" s="1"/>
  <c r="G11" i="1"/>
  <c r="G16" i="1" s="1"/>
  <c r="J11" i="1" l="1"/>
  <c r="J16" i="1" s="1"/>
</calcChain>
</file>

<file path=xl/sharedStrings.xml><?xml version="1.0" encoding="utf-8"?>
<sst xmlns="http://schemas.openxmlformats.org/spreadsheetml/2006/main" count="32" uniqueCount="24">
  <si>
    <t>Тарифы</t>
  </si>
  <si>
    <t>Телефон</t>
  </si>
  <si>
    <t>отдельн.</t>
  </si>
  <si>
    <t>спаренн.</t>
  </si>
  <si>
    <t>Газ</t>
  </si>
  <si>
    <t xml:space="preserve">без колонки </t>
  </si>
  <si>
    <t>с колонкой</t>
  </si>
  <si>
    <t>Коммун. Услуги</t>
  </si>
  <si>
    <t xml:space="preserve"> с колонкой</t>
  </si>
  <si>
    <t>РАСЧЕТ КВАРТПЛАТЫ</t>
  </si>
  <si>
    <t xml:space="preserve">N квартиры </t>
  </si>
  <si>
    <r>
      <t>площадь, м</t>
    </r>
    <r>
      <rPr>
        <b/>
        <vertAlign val="superscript"/>
        <sz val="12"/>
        <color theme="1"/>
        <rFont val="Aptos Narrow"/>
        <family val="2"/>
        <scheme val="minor"/>
      </rPr>
      <t>2</t>
    </r>
  </si>
  <si>
    <t>человек</t>
  </si>
  <si>
    <t>Удобства</t>
  </si>
  <si>
    <t>Оплата</t>
  </si>
  <si>
    <t>ИТОГО</t>
  </si>
  <si>
    <t>Электрическая плита</t>
  </si>
  <si>
    <t>Газовая колонка</t>
  </si>
  <si>
    <t>телефон (спар./отд.)</t>
  </si>
  <si>
    <t>Коммунальные услуги</t>
  </si>
  <si>
    <t>+</t>
  </si>
  <si>
    <t>о</t>
  </si>
  <si>
    <t>с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</si>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</sst>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сом&quot;_-;\-* #,##0.00\ &quot;сом&quot;_-;_-* &quot;-&quot;??\ &quot;сом&quot;_-;_-@_-"/>
  </numFmts>
  <fonts count="6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vertAlign val="superscript"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44" fontId="3" fillId="0" borderId="5" xfId="1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9" fontId="3" fillId="0" borderId="5" xfId="2" applyFont="1" applyBorder="1" applyAlignment="1">
      <alignment vertic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textRotation="90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wrapText="1"/>
    </xf>
    <xf numFmtId="44" fontId="3" fillId="0" borderId="5" xfId="1" applyFont="1" applyBorder="1" applyAlignment="1">
      <alignment horizontal="center" vertical="center" wrapText="1"/>
    </xf>
    <xf numFmtId="44" fontId="3" fillId="0" borderId="5" xfId="1" applyFont="1" applyBorder="1"/>
    <xf numFmtId="0" fontId="2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4" fontId="5" fillId="0" borderId="5" xfId="1" applyFont="1" applyBorder="1" applyAlignment="1">
      <alignment horizontal="center" vertical="center" wrapText="1"/>
    </xf>
    <xf numFmtId="44" fontId="5" fillId="0" borderId="5" xfId="1" applyFont="1" applyBorder="1"/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20601-E13A-3B43-B51A-65534A7F0AA6}">
  <dimension ref="A1:J16"/>
  <sheetViews>
    <sheetView tabSelected="1" workbookViewId="0">
      <selection activeCell="J26" sqref="J26"/>
    </sheetView>
  </sheetViews>
  <sheetFormatPr baseColWidth="10" defaultRowHeight="16" x14ac:dyDescent="0.2"/>
  <cols>
    <col min="2" max="2" width="12.6640625" customWidth="1"/>
    <col min="3" max="3" width="11.5" bestFit="1" customWidth="1"/>
    <col min="7" max="7" width="13.5" bestFit="1" customWidth="1"/>
    <col min="8" max="8" width="12.5" bestFit="1" customWidth="1"/>
    <col min="10" max="10" width="14" bestFit="1" customWidth="1"/>
  </cols>
  <sheetData>
    <row r="1" spans="1:10" x14ac:dyDescent="0.2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</row>
    <row r="2" spans="1:10" x14ac:dyDescent="0.2">
      <c r="A2" s="5" t="s">
        <v>1</v>
      </c>
      <c r="B2" s="6" t="s">
        <v>2</v>
      </c>
      <c r="C2" s="7">
        <v>300</v>
      </c>
      <c r="D2" s="4"/>
      <c r="E2" s="4"/>
      <c r="F2" s="4"/>
      <c r="G2" s="4"/>
      <c r="H2" s="4"/>
      <c r="I2" s="4"/>
      <c r="J2" s="4"/>
    </row>
    <row r="3" spans="1:10" x14ac:dyDescent="0.2">
      <c r="A3" s="8"/>
      <c r="B3" s="6" t="s">
        <v>3</v>
      </c>
      <c r="C3" s="7">
        <v>250</v>
      </c>
      <c r="D3" s="4"/>
      <c r="E3" s="4"/>
      <c r="F3" s="4"/>
      <c r="G3" s="4"/>
      <c r="H3" s="4"/>
      <c r="I3" s="4"/>
      <c r="J3" s="4"/>
    </row>
    <row r="4" spans="1:10" x14ac:dyDescent="0.2">
      <c r="A4" s="5" t="s">
        <v>4</v>
      </c>
      <c r="B4" s="6" t="s">
        <v>5</v>
      </c>
      <c r="C4" s="7">
        <v>70</v>
      </c>
      <c r="D4" s="4"/>
      <c r="E4" s="4"/>
      <c r="F4" s="4"/>
      <c r="G4" s="4"/>
      <c r="H4" s="4"/>
      <c r="I4" s="4"/>
      <c r="J4" s="4"/>
    </row>
    <row r="5" spans="1:10" x14ac:dyDescent="0.2">
      <c r="A5" s="8"/>
      <c r="B5" s="6" t="s">
        <v>6</v>
      </c>
      <c r="C5" s="7">
        <v>95</v>
      </c>
      <c r="D5" s="4"/>
      <c r="E5" s="4"/>
      <c r="F5" s="4"/>
      <c r="G5" s="4"/>
      <c r="H5" s="4"/>
      <c r="I5" s="4"/>
      <c r="J5" s="4"/>
    </row>
    <row r="6" spans="1:10" x14ac:dyDescent="0.2">
      <c r="A6" s="9" t="s">
        <v>7</v>
      </c>
      <c r="B6" s="6" t="s">
        <v>5</v>
      </c>
      <c r="C6" s="7">
        <v>50</v>
      </c>
      <c r="D6" s="4"/>
      <c r="E6" s="4"/>
      <c r="F6" s="4"/>
      <c r="G6" s="4"/>
      <c r="H6" s="4"/>
      <c r="I6" s="4"/>
      <c r="J6" s="4"/>
    </row>
    <row r="7" spans="1:10" x14ac:dyDescent="0.2">
      <c r="A7" s="10"/>
      <c r="B7" s="6" t="s">
        <v>8</v>
      </c>
      <c r="C7" s="11">
        <v>-0.1</v>
      </c>
      <c r="D7" s="4"/>
      <c r="E7" s="4"/>
      <c r="F7" s="4"/>
      <c r="G7" s="4"/>
      <c r="H7" s="4"/>
      <c r="I7" s="4"/>
      <c r="J7" s="4"/>
    </row>
    <row r="8" spans="1:10" x14ac:dyDescent="0.2">
      <c r="A8" s="12" t="s">
        <v>9</v>
      </c>
      <c r="B8" s="12"/>
      <c r="C8" s="12"/>
      <c r="D8" s="12"/>
      <c r="E8" s="12"/>
      <c r="F8" s="12"/>
      <c r="G8" s="12"/>
      <c r="H8" s="12"/>
      <c r="I8" s="12"/>
      <c r="J8" s="12"/>
    </row>
    <row r="9" spans="1:10" x14ac:dyDescent="0.2">
      <c r="A9" s="13" t="s">
        <v>10</v>
      </c>
      <c r="B9" s="13" t="s">
        <v>11</v>
      </c>
      <c r="C9" s="13" t="s">
        <v>12</v>
      </c>
      <c r="D9" s="14" t="s">
        <v>13</v>
      </c>
      <c r="E9" s="14"/>
      <c r="F9" s="15"/>
      <c r="G9" s="16" t="s">
        <v>14</v>
      </c>
      <c r="H9" s="16"/>
      <c r="I9" s="16"/>
      <c r="J9" s="17" t="s">
        <v>15</v>
      </c>
    </row>
    <row r="10" spans="1:10" ht="93" x14ac:dyDescent="0.2">
      <c r="A10" s="18"/>
      <c r="B10" s="18"/>
      <c r="C10" s="18"/>
      <c r="D10" s="19" t="s">
        <v>16</v>
      </c>
      <c r="E10" s="19" t="s">
        <v>17</v>
      </c>
      <c r="F10" s="19" t="s">
        <v>18</v>
      </c>
      <c r="G10" s="19" t="s">
        <v>19</v>
      </c>
      <c r="H10" s="19" t="s">
        <v>4</v>
      </c>
      <c r="I10" s="19" t="s">
        <v>1</v>
      </c>
      <c r="J10" s="20"/>
    </row>
    <row r="11" spans="1:10" ht="17" x14ac:dyDescent="0.2">
      <c r="A11" s="21">
        <v>1</v>
      </c>
      <c r="B11" s="21">
        <v>100</v>
      </c>
      <c r="C11" s="21">
        <v>7</v>
      </c>
      <c r="D11" s="21"/>
      <c r="E11" s="21" t="s">
        <v>20</v>
      </c>
      <c r="F11" s="21" t="s">
        <v>21</v>
      </c>
      <c r="G11" s="22">
        <f>B11*$C$6*IF(E11="+",1+$C$7,1)</f>
        <v>4500</v>
      </c>
      <c r="H11" s="22">
        <f>IF(D11&lt;&gt;"+",1,0)*C11*IF(E11="+",$C$5,$C$4)</f>
        <v>665</v>
      </c>
      <c r="I11" s="22">
        <f>IF(F11="о",$C$2,IF(F11="с",$C$3,0))</f>
        <v>300</v>
      </c>
      <c r="J11" s="23">
        <f>SUM(G11:I11)</f>
        <v>5465</v>
      </c>
    </row>
    <row r="12" spans="1:10" ht="17" x14ac:dyDescent="0.2">
      <c r="A12" s="21">
        <v>2</v>
      </c>
      <c r="B12" s="21">
        <v>60</v>
      </c>
      <c r="C12" s="21">
        <v>3</v>
      </c>
      <c r="D12" s="21" t="s">
        <v>20</v>
      </c>
      <c r="E12" s="21"/>
      <c r="F12" s="21" t="s">
        <v>22</v>
      </c>
      <c r="G12" s="22">
        <f>B12*$C$6*IF(E12="+",1+$C$7,1)</f>
        <v>3000</v>
      </c>
      <c r="H12" s="22">
        <f t="shared" ref="H12:H15" si="0">IF(D12&lt;&gt;"+",1,0)*C12*IF(E12="+",$C$5,$C$4)</f>
        <v>0</v>
      </c>
      <c r="I12" s="22">
        <f>IF(F12="о",$C$2,IF(F12="с",$C$3,0))</f>
        <v>250</v>
      </c>
      <c r="J12" s="23">
        <f t="shared" ref="J12:J15" si="1">SUM(G12:I12)</f>
        <v>3250</v>
      </c>
    </row>
    <row r="13" spans="1:10" ht="17" x14ac:dyDescent="0.2">
      <c r="A13" s="21">
        <v>3</v>
      </c>
      <c r="B13" s="21">
        <v>70</v>
      </c>
      <c r="C13" s="21">
        <v>4</v>
      </c>
      <c r="D13" s="21"/>
      <c r="E13" s="21" t="s">
        <v>20</v>
      </c>
      <c r="F13" s="21"/>
      <c r="G13" s="22">
        <f t="shared" ref="G13:G16" si="2">B13*$C$6*IF(E13="+",1+$C$7,1)</f>
        <v>3150</v>
      </c>
      <c r="H13" s="22">
        <f t="shared" si="0"/>
        <v>380</v>
      </c>
      <c r="I13" s="22">
        <f t="shared" ref="I13:I16" si="3">IF(F13="о",$C$2,IF(F13="с",$C$3,0))</f>
        <v>0</v>
      </c>
      <c r="J13" s="23">
        <f t="shared" si="1"/>
        <v>3530</v>
      </c>
    </row>
    <row r="14" spans="1:10" ht="17" x14ac:dyDescent="0.2">
      <c r="A14" s="21">
        <v>4</v>
      </c>
      <c r="B14" s="21">
        <v>80</v>
      </c>
      <c r="C14" s="21">
        <v>3</v>
      </c>
      <c r="D14" s="21" t="s">
        <v>20</v>
      </c>
      <c r="E14" s="21"/>
      <c r="F14" s="21" t="s">
        <v>21</v>
      </c>
      <c r="G14" s="22">
        <f t="shared" si="2"/>
        <v>4000</v>
      </c>
      <c r="H14" s="22">
        <f t="shared" si="0"/>
        <v>0</v>
      </c>
      <c r="I14" s="22">
        <f t="shared" si="3"/>
        <v>300</v>
      </c>
      <c r="J14" s="23">
        <f t="shared" si="1"/>
        <v>4300</v>
      </c>
    </row>
    <row r="15" spans="1:10" ht="17" x14ac:dyDescent="0.2">
      <c r="A15" s="21">
        <v>5</v>
      </c>
      <c r="B15" s="21">
        <v>90</v>
      </c>
      <c r="C15" s="21">
        <v>8</v>
      </c>
      <c r="D15" s="21"/>
      <c r="E15" s="21" t="s">
        <v>20</v>
      </c>
      <c r="F15" s="21"/>
      <c r="G15" s="22">
        <f>B15*$C$6*IF(E15="+",1+$C$7,1)</f>
        <v>4050</v>
      </c>
      <c r="H15" s="22">
        <f t="shared" si="0"/>
        <v>760</v>
      </c>
      <c r="I15" s="22">
        <f t="shared" si="3"/>
        <v>0</v>
      </c>
      <c r="J15" s="23">
        <f t="shared" si="1"/>
        <v>4810</v>
      </c>
    </row>
    <row r="16" spans="1:10" ht="17" x14ac:dyDescent="0.2">
      <c r="A16" s="24" t="s">
        <v>23</v>
      </c>
      <c r="B16" s="25">
        <f>SUM(B11:B15)</f>
        <v>400</v>
      </c>
      <c r="C16" s="25">
        <f>SUM(C11:C15)</f>
        <v>25</v>
      </c>
      <c r="D16" s="25">
        <f>COUNTIF(D11:D15,"+")</f>
        <v>2</v>
      </c>
      <c r="E16" s="25">
        <f>COUNTIF(E11:E15,"+")</f>
        <v>3</v>
      </c>
      <c r="F16" s="25">
        <f>COUNTA(F11:F15)</f>
        <v>3</v>
      </c>
      <c r="G16" s="26">
        <f>SUM(G11:G15)</f>
        <v>18700</v>
      </c>
      <c r="H16" s="26">
        <f>SUM(H11:H15)</f>
        <v>1805</v>
      </c>
      <c r="I16" s="26">
        <f>SUM(I11:I15)</f>
        <v>850</v>
      </c>
      <c r="J16" s="27">
        <f>SUM(J11:J15)</f>
        <v>21355</v>
      </c>
    </row>
  </sheetData>
  <mergeCells count="11">
    <mergeCell ref="J9:J10"/>
    <mergeCell ref="A1:C1"/>
    <mergeCell ref="A2:A3"/>
    <mergeCell ref="A4:A5"/>
    <mergeCell ref="A6:A7"/>
    <mergeCell ref="A8:J8"/>
    <mergeCell ref="A9:A10"/>
    <mergeCell ref="B9:B10"/>
    <mergeCell ref="C9:C10"/>
    <mergeCell ref="D9:F9"/>
    <mergeCell ref="G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Квартплата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Iskender Kanimetov</dc:creator>
  <cp:lastModifiedBy>Iskender Kanimetov</cp:lastModifiedBy>
  <dcterms:created xsi:type="dcterms:W3CDTF">2025-12-07T20:41:12Z</dcterms:created>
  <dcterms:modified xsi:type="dcterms:W3CDTF">2025-12-07T20:47:49Z</dcterms:modified>
</cp:coreProperties>
</file>