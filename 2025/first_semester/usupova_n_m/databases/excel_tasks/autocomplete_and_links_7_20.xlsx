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FF1AF251-A4FA-EC4B-BF31-70C468EF188D}" xr6:coauthVersionLast="47" xr6:coauthVersionMax="47" xr10:uidLastSave="{00000000-0000-0000-0000-000000000000}"/>
  <bookViews>
    <workbookView xWindow="0" yWindow="860" windowWidth="36000" windowHeight="22520" xr2:uid="{36C1DF69-0363-0147-A092-61E5ECCCFA73}"/>
  </bookViews>
  <sheets>
    <sheet name="Ведомость" sheetId="1" r:id="rId1"/>
    <sheet name="Ведомость(Диаграмма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F12" i="1" s="1"/>
  <c r="E11" i="1"/>
  <c r="F11" i="1" s="1"/>
  <c r="E10" i="1"/>
  <c r="F10" i="1" s="1"/>
  <c r="E9" i="1"/>
  <c r="E8" i="1"/>
  <c r="E7" i="1"/>
  <c r="E6" i="1"/>
  <c r="E5" i="1"/>
  <c r="E4" i="1"/>
  <c r="G5" i="1" l="1"/>
  <c r="G13" i="1"/>
  <c r="F6" i="1"/>
  <c r="G6" i="1" s="1"/>
  <c r="G10" i="1"/>
  <c r="F7" i="1"/>
  <c r="G7" i="1" s="1"/>
  <c r="G11" i="1"/>
  <c r="F8" i="1"/>
  <c r="G8" i="1" s="1"/>
  <c r="F4" i="1"/>
  <c r="G4" i="1" s="1"/>
  <c r="G12" i="1"/>
  <c r="F5" i="1"/>
  <c r="F9" i="1"/>
  <c r="G9" i="1" s="1"/>
  <c r="F13" i="1"/>
</calcChain>
</file>

<file path=xl/sharedStrings.xml><?xml version="1.0" encoding="utf-8"?>
<sst xmlns="http://schemas.openxmlformats.org/spreadsheetml/2006/main" count="18" uniqueCount="18">
  <si>
    <t>№ п/п</t>
  </si>
  <si>
    <t>Ф.И.О</t>
  </si>
  <si>
    <t>Оплата в день</t>
  </si>
  <si>
    <t>Отработано дней</t>
  </si>
  <si>
    <t>Всего начислено</t>
  </si>
  <si>
    <t>Удержано (13%)</t>
  </si>
  <si>
    <t>Получено на руки</t>
  </si>
  <si>
    <t>Дмитриева О.В.</t>
  </si>
  <si>
    <t>Коротков А.С</t>
  </si>
  <si>
    <t>Морозова С.В.</t>
  </si>
  <si>
    <t>Никитина  Т.А.</t>
  </si>
  <si>
    <t>Потапов М.М.</t>
  </si>
  <si>
    <t>Розов  В.В.</t>
  </si>
  <si>
    <t>Старикова К.И.</t>
  </si>
  <si>
    <t>Трифонова И.И</t>
  </si>
  <si>
    <t>Ведомость начисления заработной платы</t>
  </si>
  <si>
    <t>Абрамов И.П</t>
  </si>
  <si>
    <t>Васильев О.Г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</si>
</sst>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сом&quot;_-;\-* #,##0.00\ &quot;сом&quot;_-;_-* &quot;-&quot;??\ &quot;сом&quot;_-;_-@_-"/>
    <numFmt numFmtId="167" formatCode="#,##0.00\ &quot;сом&quot;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67" fontId="0" fillId="0" borderId="3" xfId="0" applyNumberFormat="1" applyBorder="1" applyAlignment="1">
      <alignment vertical="center" wrapText="1"/>
    </xf>
    <xf numFmtId="44" fontId="0" fillId="0" borderId="3" xfId="1" applyFont="1" applyBorder="1" applyAlignment="1">
      <alignment vertical="center" wrapText="1"/>
    </xf>
    <xf numFmtId="167" fontId="0" fillId="0" borderId="3" xfId="1" applyNumberFormat="1" applyFont="1" applyBorder="1" applyAlignment="1">
      <alignment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Ведомость!$B$4:$B$13</c:f>
              <c:strCache>
                <c:ptCount val="10"/>
                <c:pt idx="0">
                  <c:v>Абрамов И.П</c:v>
                </c:pt>
                <c:pt idx="1">
                  <c:v>Васильев О.Г</c:v>
                </c:pt>
                <c:pt idx="2">
                  <c:v>Дмитриева О.В.</c:v>
                </c:pt>
                <c:pt idx="3">
                  <c:v>Коротков А.С</c:v>
                </c:pt>
                <c:pt idx="4">
                  <c:v>Морозова С.В.</c:v>
                </c:pt>
                <c:pt idx="5">
                  <c:v>Никитина  Т.А.</c:v>
                </c:pt>
                <c:pt idx="6">
                  <c:v>Потапов М.М.</c:v>
                </c:pt>
                <c:pt idx="7">
                  <c:v>Розов  В.В.</c:v>
                </c:pt>
                <c:pt idx="8">
                  <c:v>Старикова К.И.</c:v>
                </c:pt>
                <c:pt idx="9">
                  <c:v>Трифонова И.И</c:v>
                </c:pt>
              </c:strCache>
            </c:strRef>
          </c:cat>
          <c:val>
            <c:numRef>
              <c:f>Ведомость!$E$4:$E$13</c:f>
              <c:numCache>
                <c:formatCode>_("сом"* #,##0.00_);_("сом"* \(#,##0.00\);_("сом"* "-"??_);_(@_)</c:formatCode>
                <c:ptCount val="10"/>
                <c:pt idx="0">
                  <c:v>15840</c:v>
                </c:pt>
                <c:pt idx="1">
                  <c:v>11550</c:v>
                </c:pt>
                <c:pt idx="2">
                  <c:v>13120</c:v>
                </c:pt>
                <c:pt idx="3">
                  <c:v>17220</c:v>
                </c:pt>
                <c:pt idx="4">
                  <c:v>15400</c:v>
                </c:pt>
                <c:pt idx="5">
                  <c:v>13680</c:v>
                </c:pt>
                <c:pt idx="6">
                  <c:v>10080</c:v>
                </c:pt>
                <c:pt idx="7">
                  <c:v>13120</c:v>
                </c:pt>
                <c:pt idx="8">
                  <c:v>9240</c:v>
                </c:pt>
                <c:pt idx="9">
                  <c:v>18040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9-CA45-894C-E3E144D6B1B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Ведомость!$B$4:$B$13</c:f>
              <c:strCache>
                <c:ptCount val="10"/>
                <c:pt idx="0">
                  <c:v>Абрамов И.П</c:v>
                </c:pt>
                <c:pt idx="1">
                  <c:v>Васильев О.Г</c:v>
                </c:pt>
                <c:pt idx="2">
                  <c:v>Дмитриева О.В.</c:v>
                </c:pt>
                <c:pt idx="3">
                  <c:v>Коротков А.С</c:v>
                </c:pt>
                <c:pt idx="4">
                  <c:v>Морозова С.В.</c:v>
                </c:pt>
                <c:pt idx="5">
                  <c:v>Никитина  Т.А.</c:v>
                </c:pt>
                <c:pt idx="6">
                  <c:v>Потапов М.М.</c:v>
                </c:pt>
                <c:pt idx="7">
                  <c:v>Розов  В.В.</c:v>
                </c:pt>
                <c:pt idx="8">
                  <c:v>Старикова К.И.</c:v>
                </c:pt>
                <c:pt idx="9">
                  <c:v>Трифонова И.И</c:v>
                </c:pt>
              </c:strCache>
            </c:strRef>
          </c:cat>
          <c:val>
            <c:numRef>
              <c:f>Ведомость!$G$4:$G$13</c:f>
              <c:numCache>
                <c:formatCode>_("сом"* #,##0.00_);_("сом"* \(#,##0.00\);_("сом"* "-"??_);_(@_)</c:formatCode>
                <c:ptCount val="10"/>
                <c:pt idx="0">
                  <c:v>13780.8</c:v>
                </c:pt>
                <c:pt idx="1">
                  <c:v>10048.5</c:v>
                </c:pt>
                <c:pt idx="2">
                  <c:v>11414.4</c:v>
                </c:pt>
                <c:pt idx="3">
                  <c:v>14981.4</c:v>
                </c:pt>
                <c:pt idx="4">
                  <c:v>13398</c:v>
                </c:pt>
                <c:pt idx="5">
                  <c:v>11901.6</c:v>
                </c:pt>
                <c:pt idx="6">
                  <c:v>8769.6</c:v>
                </c:pt>
                <c:pt idx="7">
                  <c:v>11414.4</c:v>
                </c:pt>
                <c:pt idx="8">
                  <c:v>8038.8</c:v>
                </c:pt>
                <c:pt idx="9">
                  <c:v>15694.8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9-CA45-894C-E3E144D6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25023"/>
        <c:axId val="276530495"/>
      </c:barChart>
      <c:catAx>
        <c:axId val="681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276530495"/>
        <c:crosses val="autoZero"/>
        <c:auto val="1"/>
        <c:lblAlgn val="ctr"/>
        <c:lblOffset val="100"/>
        <c:noMultiLvlLbl val="0"/>
      </c:catAx>
      <c:valAx>
        <c:axId val="2765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сом&quot;* #,##0.00_);_(&quot;сом&quot;* \(#,##0.00\);_(&quot;сом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6812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Начисление</a:t>
            </a:r>
            <a:r>
              <a:rPr lang="ru-RU" baseline="0"/>
              <a:t> заработной платы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Всего начислени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Ведомость!$B$4:$B$13</c:f>
              <c:strCache>
                <c:ptCount val="10"/>
                <c:pt idx="0">
                  <c:v>Абрамов И.П</c:v>
                </c:pt>
                <c:pt idx="1">
                  <c:v>Васильев О.Г</c:v>
                </c:pt>
                <c:pt idx="2">
                  <c:v>Дмитриева О.В.</c:v>
                </c:pt>
                <c:pt idx="3">
                  <c:v>Коротков А.С</c:v>
                </c:pt>
                <c:pt idx="4">
                  <c:v>Морозова С.В.</c:v>
                </c:pt>
                <c:pt idx="5">
                  <c:v>Никитина  Т.А.</c:v>
                </c:pt>
                <c:pt idx="6">
                  <c:v>Потапов М.М.</c:v>
                </c:pt>
                <c:pt idx="7">
                  <c:v>Розов  В.В.</c:v>
                </c:pt>
                <c:pt idx="8">
                  <c:v>Старикова К.И.</c:v>
                </c:pt>
                <c:pt idx="9">
                  <c:v>Трифонова И.И</c:v>
                </c:pt>
              </c:strCache>
            </c:strRef>
          </c:cat>
          <c:val>
            <c:numRef>
              <c:f>Ведомость!$E$4:$E$13</c:f>
              <c:numCache>
                <c:formatCode>_("сом"* #,##0.00_);_("сом"* \(#,##0.00\);_("сом"* "-"??_);_(@_)</c:formatCode>
                <c:ptCount val="10"/>
                <c:pt idx="0">
                  <c:v>15840</c:v>
                </c:pt>
                <c:pt idx="1">
                  <c:v>11550</c:v>
                </c:pt>
                <c:pt idx="2">
                  <c:v>13120</c:v>
                </c:pt>
                <c:pt idx="3">
                  <c:v>17220</c:v>
                </c:pt>
                <c:pt idx="4">
                  <c:v>15400</c:v>
                </c:pt>
                <c:pt idx="5">
                  <c:v>13680</c:v>
                </c:pt>
                <c:pt idx="6">
                  <c:v>10080</c:v>
                </c:pt>
                <c:pt idx="7">
                  <c:v>13120</c:v>
                </c:pt>
                <c:pt idx="8">
                  <c:v>9240</c:v>
                </c:pt>
                <c:pt idx="9">
                  <c:v>18040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C-804B-8197-82B2E343941A}"/>
            </c:ext>
          </c:extLst>
        </c:ser>
        <c:ser>
          <c:idx val="1"/>
          <c:order val="1"/>
          <c:tx>
            <c:v>Получено на руки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Ведомость!$B$4:$B$13</c:f>
              <c:strCache>
                <c:ptCount val="10"/>
                <c:pt idx="0">
                  <c:v>Абрамов И.П</c:v>
                </c:pt>
                <c:pt idx="1">
                  <c:v>Васильев О.Г</c:v>
                </c:pt>
                <c:pt idx="2">
                  <c:v>Дмитриева О.В.</c:v>
                </c:pt>
                <c:pt idx="3">
                  <c:v>Коротков А.С</c:v>
                </c:pt>
                <c:pt idx="4">
                  <c:v>Морозова С.В.</c:v>
                </c:pt>
                <c:pt idx="5">
                  <c:v>Никитина  Т.А.</c:v>
                </c:pt>
                <c:pt idx="6">
                  <c:v>Потапов М.М.</c:v>
                </c:pt>
                <c:pt idx="7">
                  <c:v>Розов  В.В.</c:v>
                </c:pt>
                <c:pt idx="8">
                  <c:v>Старикова К.И.</c:v>
                </c:pt>
                <c:pt idx="9">
                  <c:v>Трифонова И.И</c:v>
                </c:pt>
              </c:strCache>
            </c:strRef>
          </c:cat>
          <c:val>
            <c:numRef>
              <c:f>Ведомость!$G$4:$G$13</c:f>
              <c:numCache>
                <c:formatCode>_("сом"* #,##0.00_);_("сом"* \(#,##0.00\);_("сом"* "-"??_);_(@_)</c:formatCode>
                <c:ptCount val="10"/>
                <c:pt idx="0">
                  <c:v>13780.8</c:v>
                </c:pt>
                <c:pt idx="1">
                  <c:v>10048.5</c:v>
                </c:pt>
                <c:pt idx="2">
                  <c:v>11414.4</c:v>
                </c:pt>
                <c:pt idx="3">
                  <c:v>14981.4</c:v>
                </c:pt>
                <c:pt idx="4">
                  <c:v>13398</c:v>
                </c:pt>
                <c:pt idx="5">
                  <c:v>11901.6</c:v>
                </c:pt>
                <c:pt idx="6">
                  <c:v>8769.6</c:v>
                </c:pt>
                <c:pt idx="7">
                  <c:v>11414.4</c:v>
                </c:pt>
                <c:pt idx="8">
                  <c:v>8038.8</c:v>
                </c:pt>
                <c:pt idx="9">
                  <c:v>15694.8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C-804B-8197-82B2E3439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25023"/>
        <c:axId val="276530495"/>
      </c:barChart>
      <c:catAx>
        <c:axId val="681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276530495"/>
        <c:crosses val="autoZero"/>
        <c:auto val="1"/>
        <c:lblAlgn val="ctr"/>
        <c:lblOffset val="100"/>
        <c:noMultiLvlLbl val="0"/>
      </c:catAx>
      <c:valAx>
        <c:axId val="2765304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сом&quot;* #,##0.00_);_(&quot;сом&quot;* \(#,##0.00\);_(&quot;сом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6812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8732D3-7B45-D346-AB6B-BFA7875F241D}">
  <sheetPr/>
  <sheetViews>
    <sheetView zoomScale="17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17</xdr:row>
      <xdr:rowOff>6350</xdr:rowOff>
    </xdr:from>
    <xdr:to>
      <xdr:col>5</xdr:col>
      <xdr:colOff>679450</xdr:colOff>
      <xdr:row>30</xdr:row>
      <xdr:rowOff>107950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779BE1-B09E-E938-07FD-A95219E00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6882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6C1D0B-FAA5-1876-1FA8-EABD036DE9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37A0-E03F-2F41-B81F-5EBC65406C87}">
  <dimension ref="A1:G13"/>
  <sheetViews>
    <sheetView tabSelected="1" workbookViewId="0">
      <selection activeCell="H24" sqref="H24"/>
    </sheetView>
  </sheetViews>
  <sheetFormatPr baseColWidth="10" defaultRowHeight="16" x14ac:dyDescent="0.2"/>
  <cols>
    <col min="1" max="1" width="4.33203125" customWidth="1"/>
    <col min="2" max="2" width="15.33203125" customWidth="1"/>
    <col min="5" max="5" width="14.1640625" customWidth="1"/>
    <col min="6" max="6" width="13" bestFit="1" customWidth="1"/>
    <col min="7" max="7" width="13.6640625" customWidth="1"/>
  </cols>
  <sheetData>
    <row r="1" spans="1:7" x14ac:dyDescent="0.2">
      <c r="A1" s="3" t="s">
        <v>15</v>
      </c>
      <c r="B1" s="3"/>
      <c r="C1" s="3"/>
      <c r="D1" s="3"/>
      <c r="E1" s="3"/>
      <c r="F1" s="3"/>
      <c r="G1" s="3"/>
    </row>
    <row r="2" spans="1:7" x14ac:dyDescent="0.2">
      <c r="A2" s="4"/>
      <c r="B2" s="4"/>
      <c r="C2" s="4"/>
      <c r="D2" s="4"/>
      <c r="E2" s="4"/>
      <c r="F2" s="4"/>
      <c r="G2" s="4"/>
    </row>
    <row r="3" spans="1:7" ht="32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7" x14ac:dyDescent="0.2">
      <c r="A4" s="5">
        <v>1</v>
      </c>
      <c r="B4" s="5" t="s">
        <v>16</v>
      </c>
      <c r="C4" s="6">
        <v>720</v>
      </c>
      <c r="D4" s="5">
        <v>22</v>
      </c>
      <c r="E4" s="7">
        <f t="shared" ref="E4:E13" si="0">C4*D4</f>
        <v>15840</v>
      </c>
      <c r="F4" s="7">
        <f t="shared" ref="F4:F13" si="1">E4*13%</f>
        <v>2059.2000000000003</v>
      </c>
      <c r="G4" s="7">
        <f>E4-F4</f>
        <v>13780.8</v>
      </c>
    </row>
    <row r="5" spans="1:7" ht="17" x14ac:dyDescent="0.2">
      <c r="A5" s="5">
        <v>2</v>
      </c>
      <c r="B5" s="5" t="s">
        <v>17</v>
      </c>
      <c r="C5" s="8">
        <v>770</v>
      </c>
      <c r="D5" s="5">
        <v>15</v>
      </c>
      <c r="E5" s="7">
        <f t="shared" si="0"/>
        <v>11550</v>
      </c>
      <c r="F5" s="7">
        <f t="shared" si="1"/>
        <v>1501.5</v>
      </c>
      <c r="G5" s="7">
        <f t="shared" ref="G5:G13" si="2">E5-F5</f>
        <v>10048.5</v>
      </c>
    </row>
    <row r="6" spans="1:7" ht="17" x14ac:dyDescent="0.2">
      <c r="A6" s="5">
        <v>3</v>
      </c>
      <c r="B6" s="5" t="s">
        <v>7</v>
      </c>
      <c r="C6" s="6">
        <v>820</v>
      </c>
      <c r="D6" s="5">
        <v>16</v>
      </c>
      <c r="E6" s="7">
        <f t="shared" si="0"/>
        <v>13120</v>
      </c>
      <c r="F6" s="7">
        <f t="shared" si="1"/>
        <v>1705.6000000000001</v>
      </c>
      <c r="G6" s="7">
        <f t="shared" si="2"/>
        <v>11414.4</v>
      </c>
    </row>
    <row r="7" spans="1:7" ht="17" x14ac:dyDescent="0.2">
      <c r="A7" s="5">
        <v>4</v>
      </c>
      <c r="B7" s="5" t="s">
        <v>8</v>
      </c>
      <c r="C7" s="6">
        <v>820</v>
      </c>
      <c r="D7" s="5">
        <v>21</v>
      </c>
      <c r="E7" s="7">
        <f t="shared" si="0"/>
        <v>17220</v>
      </c>
      <c r="F7" s="7">
        <f t="shared" si="1"/>
        <v>2238.6</v>
      </c>
      <c r="G7" s="7">
        <f t="shared" si="2"/>
        <v>14981.4</v>
      </c>
    </row>
    <row r="8" spans="1:7" ht="17" x14ac:dyDescent="0.2">
      <c r="A8" s="5">
        <v>5</v>
      </c>
      <c r="B8" s="5" t="s">
        <v>9</v>
      </c>
      <c r="C8" s="6">
        <v>770</v>
      </c>
      <c r="D8" s="5">
        <v>20</v>
      </c>
      <c r="E8" s="7">
        <f t="shared" si="0"/>
        <v>15400</v>
      </c>
      <c r="F8" s="7">
        <f t="shared" si="1"/>
        <v>2002</v>
      </c>
      <c r="G8" s="7">
        <f t="shared" si="2"/>
        <v>13398</v>
      </c>
    </row>
    <row r="9" spans="1:7" ht="17" x14ac:dyDescent="0.2">
      <c r="A9" s="5">
        <v>6</v>
      </c>
      <c r="B9" s="5" t="s">
        <v>10</v>
      </c>
      <c r="C9" s="6">
        <v>720</v>
      </c>
      <c r="D9" s="5">
        <v>19</v>
      </c>
      <c r="E9" s="7">
        <f t="shared" si="0"/>
        <v>13680</v>
      </c>
      <c r="F9" s="7">
        <f t="shared" si="1"/>
        <v>1778.4</v>
      </c>
      <c r="G9" s="7">
        <f t="shared" si="2"/>
        <v>11901.6</v>
      </c>
    </row>
    <row r="10" spans="1:7" ht="17" x14ac:dyDescent="0.2">
      <c r="A10" s="5">
        <v>7</v>
      </c>
      <c r="B10" s="5" t="s">
        <v>11</v>
      </c>
      <c r="C10" s="6">
        <v>720</v>
      </c>
      <c r="D10" s="5">
        <v>14</v>
      </c>
      <c r="E10" s="7">
        <f t="shared" si="0"/>
        <v>10080</v>
      </c>
      <c r="F10" s="7">
        <f t="shared" si="1"/>
        <v>1310.4000000000001</v>
      </c>
      <c r="G10" s="7">
        <f t="shared" si="2"/>
        <v>8769.6</v>
      </c>
    </row>
    <row r="11" spans="1:7" ht="17" x14ac:dyDescent="0.2">
      <c r="A11" s="5">
        <v>8</v>
      </c>
      <c r="B11" s="5" t="s">
        <v>12</v>
      </c>
      <c r="C11" s="6">
        <v>820</v>
      </c>
      <c r="D11" s="5">
        <v>16</v>
      </c>
      <c r="E11" s="7">
        <f t="shared" si="0"/>
        <v>13120</v>
      </c>
      <c r="F11" s="7">
        <f t="shared" si="1"/>
        <v>1705.6000000000001</v>
      </c>
      <c r="G11" s="7">
        <f t="shared" si="2"/>
        <v>11414.4</v>
      </c>
    </row>
    <row r="12" spans="1:7" ht="17" x14ac:dyDescent="0.2">
      <c r="A12" s="5">
        <v>9</v>
      </c>
      <c r="B12" s="5" t="s">
        <v>13</v>
      </c>
      <c r="C12" s="6">
        <v>770</v>
      </c>
      <c r="D12" s="5">
        <v>12</v>
      </c>
      <c r="E12" s="7">
        <f t="shared" si="0"/>
        <v>9240</v>
      </c>
      <c r="F12" s="7">
        <f t="shared" si="1"/>
        <v>1201.2</v>
      </c>
      <c r="G12" s="7">
        <f t="shared" si="2"/>
        <v>8038.8</v>
      </c>
    </row>
    <row r="13" spans="1:7" ht="17" x14ac:dyDescent="0.2">
      <c r="A13" s="5">
        <v>10</v>
      </c>
      <c r="B13" s="5" t="s">
        <v>14</v>
      </c>
      <c r="C13" s="6">
        <v>820</v>
      </c>
      <c r="D13" s="5">
        <v>22</v>
      </c>
      <c r="E13" s="7">
        <f t="shared" si="0"/>
        <v>18040</v>
      </c>
      <c r="F13" s="7">
        <f t="shared" si="1"/>
        <v>2345.2000000000003</v>
      </c>
      <c r="G13" s="7">
        <f t="shared" si="2"/>
        <v>15694.8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Ведомость</vt:lpstr>
      <vt:lpstr>Ведомость(Диаграмма)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2025-12-05T18:41:48Z</dcterms:created>
  <dcterms:modified xsi:type="dcterms:W3CDTF">2025-12-05T19:01:17Z</dcterms:modified>
</cp:coreProperties>
</file>